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TSITSISON Zelin\Desktop\"/>
    </mc:Choice>
  </mc:AlternateContent>
  <bookViews>
    <workbookView xWindow="0" yWindow="0" windowWidth="15360" windowHeight="7932" activeTab="1"/>
  </bookViews>
  <sheets>
    <sheet name="COMPTE ET NUMERO A DEBITER" sheetId="4" r:id="rId1"/>
    <sheet name="JUILLET 2023" sheetId="1" r:id="rId2"/>
    <sheet name="GRAND LIVRE POUR RAPPORT" sheetId="9" r:id="rId3"/>
  </sheets>
  <definedNames>
    <definedName name="_xlnm._FilterDatabase" localSheetId="2" hidden="1">'GRAND LIVRE POUR RAPPORT'!$A$4:$BD$124</definedName>
  </definedNames>
  <calcPr calcId="162913"/>
</workbook>
</file>

<file path=xl/calcChain.xml><?xml version="1.0" encoding="utf-8"?>
<calcChain xmlns="http://schemas.openxmlformats.org/spreadsheetml/2006/main">
  <c r="T5" i="9" l="1"/>
  <c r="T2" i="9" s="1"/>
  <c r="M123" i="9" l="1"/>
  <c r="N123" i="9"/>
  <c r="M124" i="9"/>
  <c r="N124" i="9"/>
  <c r="O123" i="9"/>
  <c r="P123" i="9"/>
  <c r="O124" i="9"/>
  <c r="P124" i="9"/>
  <c r="W5" i="9" l="1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AZ2" i="9" s="1"/>
  <c r="BA5" i="9"/>
  <c r="BB5" i="9"/>
  <c r="BC5" i="9"/>
  <c r="BD5" i="9"/>
  <c r="J3" i="9" l="1"/>
  <c r="J2" i="9"/>
  <c r="W2" i="9" l="1"/>
  <c r="X2" i="9"/>
  <c r="Z2" i="9"/>
  <c r="AA2" i="9"/>
  <c r="AB2" i="9"/>
  <c r="AC2" i="9"/>
  <c r="AD2" i="9"/>
  <c r="AE2" i="9"/>
  <c r="AF2" i="9"/>
  <c r="AH2" i="9"/>
  <c r="AI2" i="9"/>
  <c r="AJ2" i="9"/>
  <c r="AL2" i="9"/>
  <c r="AM2" i="9"/>
  <c r="AN2" i="9"/>
  <c r="AP2" i="9"/>
  <c r="AQ2" i="9"/>
  <c r="AR2" i="9"/>
  <c r="AS2" i="9"/>
  <c r="AT2" i="9"/>
  <c r="AU2" i="9"/>
  <c r="AV2" i="9"/>
  <c r="AX2" i="9"/>
  <c r="AY2" i="9"/>
  <c r="BB2" i="9"/>
  <c r="BC2" i="9"/>
  <c r="BD2" i="9"/>
  <c r="V5" i="9"/>
  <c r="U5" i="9"/>
  <c r="U2" i="9" s="1"/>
  <c r="S5" i="9"/>
  <c r="S2" i="9" s="1"/>
  <c r="R5" i="9"/>
  <c r="R2" i="9" s="1"/>
  <c r="Q5" i="9"/>
  <c r="V2" i="9" l="1"/>
  <c r="V3" i="9"/>
  <c r="Q2" i="9"/>
  <c r="Q3" i="9"/>
  <c r="BA3" i="9"/>
  <c r="BA2" i="9"/>
  <c r="AW3" i="9"/>
  <c r="AW2" i="9"/>
  <c r="AO3" i="9"/>
  <c r="AO2" i="9"/>
  <c r="AK3" i="9"/>
  <c r="AK2" i="9"/>
  <c r="AG3" i="9"/>
  <c r="AG2" i="9"/>
  <c r="Y3" i="9"/>
  <c r="Y2" i="9"/>
  <c r="K2" i="9"/>
  <c r="L2" i="9" s="1"/>
  <c r="K3" i="9"/>
  <c r="L3" i="9" s="1"/>
  <c r="BC3" i="9"/>
  <c r="AY3" i="9"/>
  <c r="AU3" i="9"/>
  <c r="AQ3" i="9"/>
  <c r="AM3" i="9"/>
  <c r="AI3" i="9"/>
  <c r="AE3" i="9"/>
  <c r="AA3" i="9"/>
  <c r="W3" i="9"/>
  <c r="BB3" i="9"/>
  <c r="AX3" i="9"/>
  <c r="AT3" i="9"/>
  <c r="AP3" i="9"/>
  <c r="AL3" i="9"/>
  <c r="AH3" i="9"/>
  <c r="AD3" i="9"/>
  <c r="Z3" i="9"/>
  <c r="R3" i="9"/>
  <c r="AS3" i="9"/>
  <c r="AC3" i="9"/>
  <c r="U3" i="9"/>
  <c r="BD3" i="9"/>
  <c r="AZ3" i="9"/>
  <c r="AV3" i="9"/>
  <c r="AR3" i="9"/>
  <c r="AN3" i="9"/>
  <c r="AJ3" i="9"/>
  <c r="AF3" i="9"/>
  <c r="AB3" i="9"/>
  <c r="X3" i="9"/>
  <c r="S3" i="9"/>
  <c r="L3" i="1" l="1"/>
  <c r="P3" i="1"/>
  <c r="O3" i="1"/>
  <c r="N3" i="1"/>
  <c r="M3" i="1"/>
  <c r="K3" i="1"/>
  <c r="J3" i="1"/>
  <c r="I3" i="1"/>
  <c r="H3" i="1"/>
  <c r="G3" i="1"/>
  <c r="M4" i="1" l="1"/>
  <c r="M5" i="1" s="1"/>
  <c r="O4" i="1"/>
  <c r="O5" i="1" s="1"/>
  <c r="I4" i="1"/>
  <c r="I5" i="1" s="1"/>
  <c r="K4" i="1"/>
  <c r="K5" i="1" s="1"/>
  <c r="G4" i="1"/>
  <c r="G5" i="1" l="1"/>
</calcChain>
</file>

<file path=xl/comments1.xml><?xml version="1.0" encoding="utf-8"?>
<comments xmlns="http://schemas.openxmlformats.org/spreadsheetml/2006/main">
  <authors>
    <author>Toshiba Serie Z10t</author>
  </authors>
  <commentList>
    <comment ref="M2" authorId="0" shapeId="0">
      <text>
        <r>
          <rPr>
            <sz val="18"/>
            <color indexed="81"/>
            <rFont val="Tahoma"/>
            <family val="2"/>
          </rPr>
          <t xml:space="preserve">37.371.253 SALAMA
24.137.110 PCIE ENDOR
1.276.720 MAEXI
314.000 KANACIA 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Toshiba Serie Z10t:
1TA4T 22 : 16.440.000 TAFITA
4T22 : 6.766.592,55 ENERGIS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<sst xmlns="http://schemas.openxmlformats.org/spreadsheetml/2006/main" count="432" uniqueCount="239">
  <si>
    <t>DATE</t>
  </si>
  <si>
    <t>PAYER PAR</t>
  </si>
  <si>
    <t>IMPUTATION RAPPORT</t>
  </si>
  <si>
    <t>LIBELLES</t>
  </si>
  <si>
    <t>COMPTE A DEBITER</t>
  </si>
  <si>
    <t>FRNS / CLIENT/ BENEFICIAIRE/ DESTINATION</t>
  </si>
  <si>
    <t>ENTRÉE BNI</t>
  </si>
  <si>
    <t>SORTIE BNI</t>
  </si>
  <si>
    <t>ENTRÉE BFV</t>
  </si>
  <si>
    <t>SORTIE BFV</t>
  </si>
  <si>
    <t>BON FOURNISSEUR</t>
  </si>
  <si>
    <t>PAIEMENT FOURNISSEUR</t>
  </si>
  <si>
    <t>PAIEMENT CLIENT</t>
  </si>
  <si>
    <t>SOLDE REPORTE</t>
  </si>
  <si>
    <t>SOLDE DES MOUVMENTS DU MOIS</t>
  </si>
  <si>
    <t>SOLDES A REPORTER</t>
  </si>
  <si>
    <t>NOM DE LA CAISSE</t>
  </si>
  <si>
    <t>CAISSE</t>
  </si>
  <si>
    <t>BFV 00008 00730 05004005016 04</t>
  </si>
  <si>
    <t>401 FRNS</t>
  </si>
  <si>
    <t>411 ADHERENTS</t>
  </si>
  <si>
    <t>COTISATION</t>
  </si>
  <si>
    <t>DROIT DE VISITE</t>
  </si>
  <si>
    <t>ACHAT MEDICAMENT</t>
  </si>
  <si>
    <t>VISITE D'ENTREPRISE</t>
  </si>
  <si>
    <t>CONSULTANCE ET PRESTATION DE SERVICE</t>
  </si>
  <si>
    <t>FOURNITURE DE BUREAU</t>
  </si>
  <si>
    <t>COMMUNICATION</t>
  </si>
  <si>
    <t>IRSA</t>
  </si>
  <si>
    <t>ADHESION</t>
  </si>
  <si>
    <t>CANTINE GARDE</t>
  </si>
  <si>
    <t>LOYER</t>
  </si>
  <si>
    <t>BNI 00005 00017 362960 3 020 0 71</t>
  </si>
  <si>
    <t>COMPTE</t>
  </si>
  <si>
    <t>NUMERO</t>
  </si>
  <si>
    <t>706.101</t>
  </si>
  <si>
    <t>706.103</t>
  </si>
  <si>
    <t>706.107</t>
  </si>
  <si>
    <t>706.108</t>
  </si>
  <si>
    <t>DROIT DE STAGE</t>
  </si>
  <si>
    <t>706.201</t>
  </si>
  <si>
    <t>MATERIEL ET MOBILIER DE BUREAU</t>
  </si>
  <si>
    <t>601.300</t>
  </si>
  <si>
    <t>601.400</t>
  </si>
  <si>
    <t>601.500</t>
  </si>
  <si>
    <t>602.250</t>
  </si>
  <si>
    <t>FOURNITURE INFORMATIQUE</t>
  </si>
  <si>
    <t>602.300</t>
  </si>
  <si>
    <t>604.300</t>
  </si>
  <si>
    <t>JIRAMA</t>
  </si>
  <si>
    <t>606.200</t>
  </si>
  <si>
    <t>PHOTOCOPIE ET SERVICE EXTERIEURS</t>
  </si>
  <si>
    <t>612.000</t>
  </si>
  <si>
    <t xml:space="preserve">CHARGE LOCATIVE </t>
  </si>
  <si>
    <t>614.000</t>
  </si>
  <si>
    <t>ENTRETIEN BUREAU ET MATERIEL INFORMATIQUE</t>
  </si>
  <si>
    <t>615.100</t>
  </si>
  <si>
    <t>PRODUIT D"ENTRETIEN</t>
  </si>
  <si>
    <t>615.200</t>
  </si>
  <si>
    <t>615.600</t>
  </si>
  <si>
    <t>ENTRETIEN AUTO ET GROUPE</t>
  </si>
  <si>
    <t>FORMATION ET REUNION D'INFORMATION</t>
  </si>
  <si>
    <t>618.400</t>
  </si>
  <si>
    <t>FRET &amp; DEPLACEMENT</t>
  </si>
  <si>
    <t>624.000</t>
  </si>
  <si>
    <t>626.100</t>
  </si>
  <si>
    <t>INTERNET</t>
  </si>
  <si>
    <t>FRAIS BANCAIRE</t>
  </si>
  <si>
    <t>627.000</t>
  </si>
  <si>
    <t>CHARGE DU PERSONNEL</t>
  </si>
  <si>
    <t>641.000</t>
  </si>
  <si>
    <t>641.200</t>
  </si>
  <si>
    <t>641.300</t>
  </si>
  <si>
    <t>JETONS DE PRESENCE CONSEIL DE GESTION</t>
  </si>
  <si>
    <t>653.000</t>
  </si>
  <si>
    <t>653.100</t>
  </si>
  <si>
    <t>REMBOUSEMENT PRET</t>
  </si>
  <si>
    <t>661.100</t>
  </si>
  <si>
    <t>218.100</t>
  </si>
  <si>
    <t>CNAPS</t>
  </si>
  <si>
    <t>645.000</t>
  </si>
  <si>
    <t>PRISE EN CHARGE</t>
  </si>
  <si>
    <t>670.200</t>
  </si>
  <si>
    <t>ACHAT PRODUIT POUR MEDECINE D'ENTREPRISE</t>
  </si>
  <si>
    <t>ACHAT PRODUIT DE LABO ET DENTISTERIE</t>
  </si>
  <si>
    <t>FOURNITURE DE BUREAU CARTE FICHE ORDONNANCIER</t>
  </si>
  <si>
    <t>52.KESGEST</t>
  </si>
  <si>
    <t>ENTREE CAISSE</t>
  </si>
  <si>
    <t>ENTREE BNI</t>
  </si>
  <si>
    <t>ENTREE BFV</t>
  </si>
  <si>
    <t>CLIENT A RECEVOIR</t>
  </si>
  <si>
    <t>FRNS A PAYER</t>
  </si>
  <si>
    <t>511.BNI71 ENT</t>
  </si>
  <si>
    <t>511.BFV04 ENT</t>
  </si>
  <si>
    <t>411.000 AR</t>
  </si>
  <si>
    <t>401.000 AP</t>
  </si>
  <si>
    <t>VIREMENT INTERNE KES &gt;BNI</t>
  </si>
  <si>
    <t>VIREMENT INTERNE BNI &gt; KES</t>
  </si>
  <si>
    <t>VIREMENT INTERNE KES &gt;BFV</t>
  </si>
  <si>
    <t>VIREMENT INTERNE BFV&gt;KES</t>
  </si>
  <si>
    <t>VIREMENT INTERNE BFV &gt;BNI</t>
  </si>
  <si>
    <t>VIREMENT INTERNE BNI &gt;BFV</t>
  </si>
  <si>
    <t>NUM FACTURE OU RECU REFERENCE</t>
  </si>
  <si>
    <t>CARBURANT</t>
  </si>
  <si>
    <t>606.300</t>
  </si>
  <si>
    <t>PREVISION</t>
  </si>
  <si>
    <t>PRIME COGE</t>
  </si>
  <si>
    <t>RECETTES</t>
  </si>
  <si>
    <t>PHOTOCOPIE ET SERVICES EXTERIEURS</t>
  </si>
  <si>
    <t>PRODUIT D'ENTRETIEN</t>
  </si>
  <si>
    <t>ASSURANCE ET VISITE TECHNIQUE</t>
  </si>
  <si>
    <t>SOCIALE</t>
  </si>
  <si>
    <t>BNI</t>
  </si>
  <si>
    <t>BFV</t>
  </si>
  <si>
    <t>628.400</t>
  </si>
  <si>
    <t>647.000</t>
  </si>
  <si>
    <t>CNaPS</t>
  </si>
  <si>
    <t>626.200</t>
  </si>
  <si>
    <t>PIECES COMPTABLE NUMERIQUE</t>
  </si>
  <si>
    <t>MATERIEL MEDICAL</t>
  </si>
  <si>
    <t>215.000</t>
  </si>
  <si>
    <t>VIREMENT INTRENE CNAPS&gt;OSIET&gt;AYANT DROIT</t>
  </si>
  <si>
    <t>511&gt;AYANT DROIT</t>
  </si>
  <si>
    <t>AMENAGEMENT SALLE DE RADIOGRAPHIE</t>
  </si>
  <si>
    <t>215.200</t>
  </si>
  <si>
    <t>PROMESSE DE PAIEMENT CLIENT / CLENT A RECEVOIR</t>
  </si>
  <si>
    <t>ACTE NOTARIE PRET BFV</t>
  </si>
  <si>
    <t>REMBOURSEMENT AVANCE SPECIALE</t>
  </si>
  <si>
    <r>
      <t xml:space="preserve">TOTAL DES </t>
    </r>
    <r>
      <rPr>
        <b/>
        <sz val="11"/>
        <color rgb="FF00B050"/>
        <rFont val="Calibri"/>
        <family val="2"/>
        <scheme val="minor"/>
      </rPr>
      <t>ENTREES</t>
    </r>
    <r>
      <rPr>
        <b/>
        <sz val="11"/>
        <color theme="0"/>
        <rFont val="Calibri"/>
        <family val="2"/>
        <scheme val="minor"/>
      </rPr>
      <t xml:space="preserve"> /</t>
    </r>
    <r>
      <rPr>
        <b/>
        <sz val="11"/>
        <color rgb="FF0070C0"/>
        <rFont val="Calibri"/>
        <family val="2"/>
        <scheme val="minor"/>
      </rPr>
      <t xml:space="preserve"> SORTIES</t>
    </r>
  </si>
  <si>
    <t>PHARMACIE KANACIA</t>
  </si>
  <si>
    <t>MD STATIONNERY</t>
  </si>
  <si>
    <t>COMPLEMENT D'ADHESION</t>
  </si>
  <si>
    <t>SORTIE CAISSE2</t>
  </si>
  <si>
    <t>VIREMENT INTERNE CNaPS</t>
  </si>
  <si>
    <t>N°FACT-RECUN°</t>
  </si>
  <si>
    <t>FRNS-CLIENT-BENEFICIAIRE-DESTINATAIRE</t>
  </si>
  <si>
    <t>CUMUL</t>
  </si>
  <si>
    <t xml:space="preserve">CUMULE DETAILLE PAR COLONNE </t>
  </si>
  <si>
    <t>CONSULTANCE</t>
  </si>
  <si>
    <t>ENTRETIEN AUTO</t>
  </si>
  <si>
    <t>ENTRETIEN BUREAU</t>
  </si>
  <si>
    <t>CHARGE LOCATIVE</t>
  </si>
  <si>
    <t>REMBOURSEMENT BFV</t>
  </si>
  <si>
    <t>AMENAGEMENT SALLE RADIO</t>
  </si>
  <si>
    <t>HABILLEMENT</t>
  </si>
  <si>
    <t>ENTRÉE</t>
  </si>
  <si>
    <t>SORTIE</t>
  </si>
  <si>
    <t>RECETTE</t>
  </si>
  <si>
    <t>DEPENSES</t>
  </si>
  <si>
    <t>ACHAT PRODUIT LABORATOIRE</t>
  </si>
  <si>
    <t>ACHAT PRODUIT MED ENTREPRISES</t>
  </si>
  <si>
    <t xml:space="preserve">CARBURANT </t>
  </si>
  <si>
    <t>FRETS ET DEPLACEMENT</t>
  </si>
  <si>
    <t>JETONS DE PRESENCE</t>
  </si>
  <si>
    <t>ORDONNANCIER- REGISTRES- CARNET DE RECU</t>
  </si>
  <si>
    <t>PRISE EN CHARGE/ REMBOURSEMENT</t>
  </si>
  <si>
    <t>UTILISE EN %AGE</t>
  </si>
  <si>
    <t>RESTE A UTILISER</t>
  </si>
  <si>
    <t>RESUME</t>
  </si>
  <si>
    <t>% AGE R°</t>
  </si>
  <si>
    <t>RUBRIQUES</t>
  </si>
  <si>
    <t>PREVUES</t>
  </si>
  <si>
    <t>REALISEES</t>
  </si>
  <si>
    <t xml:space="preserve">GRAND LIVRE </t>
  </si>
  <si>
    <t>A CREDIT</t>
  </si>
  <si>
    <t>PROMESSE ADHERENT</t>
  </si>
  <si>
    <t>PRISE EN CHARGE A PAYER MAX 1MAR</t>
  </si>
  <si>
    <t>VISITE D'ENTREPRISE A PAYER</t>
  </si>
  <si>
    <t>PRÊT BFV</t>
  </si>
  <si>
    <t>PRÊT ALAIN</t>
  </si>
  <si>
    <t>PAIEMENT LABS CARE</t>
  </si>
  <si>
    <t>RESTE PRÊT BFV</t>
  </si>
  <si>
    <t>ACHAT APPAREIL DE RADIOGRAPHIE</t>
  </si>
  <si>
    <t>PRIME DU CONSEIL DE GESTION</t>
  </si>
  <si>
    <t>MOIS DE JUILLET 2023</t>
  </si>
  <si>
    <t>FC008270</t>
  </si>
  <si>
    <t>NOVATEN ET ROVAMYCINE CP B/10</t>
  </si>
  <si>
    <t>FC008277</t>
  </si>
  <si>
    <t>GESTARELLE/KETOTIFENE/BECONASE/DEPAKINE/AMARYL</t>
  </si>
  <si>
    <t>VERST ESPECE</t>
  </si>
  <si>
    <t>REMBOURSEMENT MEDICAMENT ALAIN</t>
  </si>
  <si>
    <t>PDT ALAIN</t>
  </si>
  <si>
    <t>CK</t>
  </si>
  <si>
    <t>VERSEMENT CK ETABLISSEMENT GALLOIS</t>
  </si>
  <si>
    <t>KES&gt;BFV</t>
  </si>
  <si>
    <t>ESPECE</t>
  </si>
  <si>
    <t>FN° OST018-23</t>
  </si>
  <si>
    <t>ACHAT POUBELLE A PEDALE ET SAC POUBELLE</t>
  </si>
  <si>
    <t>FN° OST 017-23</t>
  </si>
  <si>
    <t xml:space="preserve">RESTE A PAYER </t>
  </si>
  <si>
    <t>REPARATION PNEU</t>
  </si>
  <si>
    <t>AVOTRA SCE</t>
  </si>
  <si>
    <t>VERST CK STE IND DE FORT-DAUPHIN</t>
  </si>
  <si>
    <t>DEPLACEMENT DIR FOP A AMBOASARY</t>
  </si>
  <si>
    <t>DIR FOP</t>
  </si>
  <si>
    <t>SSM 3 PERS</t>
  </si>
  <si>
    <t>SSM</t>
  </si>
  <si>
    <t>3T23 SSM</t>
  </si>
  <si>
    <t>BNI N°17050227</t>
  </si>
  <si>
    <t>1T23 ETABLISSEMENT GALLOIS</t>
  </si>
  <si>
    <t>ETAB GALLOIS</t>
  </si>
  <si>
    <t>2T23 METC</t>
  </si>
  <si>
    <t>METC</t>
  </si>
  <si>
    <t>VIREMENT</t>
  </si>
  <si>
    <t>2T23 LES PETITS LOUPS</t>
  </si>
  <si>
    <t>P'TITS LOUP</t>
  </si>
  <si>
    <t>ACHAT 16,96 L ESSENCE</t>
  </si>
  <si>
    <t>GALANA</t>
  </si>
  <si>
    <t>ACHAT RAME PAPIER</t>
  </si>
  <si>
    <t>RAJ CENTER</t>
  </si>
  <si>
    <t>002/07/23</t>
  </si>
  <si>
    <t>ACHAT A PHA,G,DIS</t>
  </si>
  <si>
    <t>PHA,G,DIS</t>
  </si>
  <si>
    <t>VERST CK RAMBINA/SIFOR/DROTKOWSKI</t>
  </si>
  <si>
    <t>BFV N°34264250</t>
  </si>
  <si>
    <t>TANI AUSTRAL</t>
  </si>
  <si>
    <t>TANI AUSTRAL 2 PERS</t>
  </si>
  <si>
    <t>BFV N°41606519</t>
  </si>
  <si>
    <t>1T23 DROTKOWSKI</t>
  </si>
  <si>
    <t>DROTKOWSKI</t>
  </si>
  <si>
    <t>BFV N°41606518</t>
  </si>
  <si>
    <t>1T23 SIFOR</t>
  </si>
  <si>
    <t>SIFOR</t>
  </si>
  <si>
    <t>JETONS JUILLET INSPECTEUR DU TRAVAIL</t>
  </si>
  <si>
    <t>ONJA INSPECTEUR</t>
  </si>
  <si>
    <t>PRESENTATION JUILLET GILDAS</t>
  </si>
  <si>
    <t>VP GILDAS</t>
  </si>
  <si>
    <t>RELIURE</t>
  </si>
  <si>
    <t>NJ ULTIMATE</t>
  </si>
  <si>
    <t>RELIURE ET PHOTOCOPIE</t>
  </si>
  <si>
    <t>FC 008255</t>
  </si>
  <si>
    <t>ACHAT MULTIVIT/PENI B/ZAART H/COTRIM SP/ANGIZAAR/AMOX/ NIFEDIPINE</t>
  </si>
  <si>
    <t>BNI 7291135</t>
  </si>
  <si>
    <t>ASSURANCE SUZUKI 1 AN DU 01 JUIL23 AU 01 JUILLET24²²</t>
  </si>
  <si>
    <t>ASSURANCE ARO</t>
  </si>
  <si>
    <t>IRSA JUIN 23</t>
  </si>
  <si>
    <t>CENTRE FISCAL</t>
  </si>
  <si>
    <t>2T23 VALLIS GROUP</t>
  </si>
  <si>
    <t>VALLIS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</si>
</sst>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[$-40C]d\-mmm\-yy;@"/>
    <numFmt numFmtId="167" formatCode="_-* #,##0.00\ _A_r_-;\-* #,##0.00\ _A_r_-;_-* &quot;-&quot;??\ _A_r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rgb="FF00B050"/>
      <name val="Calibri"/>
      <family val="2"/>
      <scheme val="minor"/>
    </font>
    <font>
      <b/>
      <sz val="15"/>
      <color rgb="FF0070C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3" fillId="0" borderId="1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0" borderId="1" xfId="1" applyFont="1" applyBorder="1" applyAlignment="1">
      <alignment horizontal="center" vertical="center"/>
    </xf>
    <xf numFmtId="43" fontId="17" fillId="0" borderId="1" xfId="1" applyFont="1" applyBorder="1" applyAlignment="1">
      <alignment horizontal="center" vertical="center"/>
    </xf>
    <xf numFmtId="43" fontId="18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3" fontId="19" fillId="0" borderId="1" xfId="1" applyFont="1" applyBorder="1" applyAlignment="1">
      <alignment vertical="center"/>
    </xf>
    <xf numFmtId="43" fontId="19" fillId="0" borderId="1" xfId="1" applyNumberFormat="1" applyFont="1" applyBorder="1" applyAlignment="1">
      <alignment vertical="center"/>
    </xf>
    <xf numFmtId="14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43" fontId="30" fillId="0" borderId="1" xfId="1" applyFont="1" applyBorder="1" applyAlignment="1">
      <alignment vertical="center"/>
    </xf>
    <xf numFmtId="43" fontId="30" fillId="0" borderId="1" xfId="1" applyNumberFormat="1" applyFont="1" applyBorder="1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" fontId="28" fillId="0" borderId="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9" fillId="0" borderId="1" xfId="1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3" fillId="0" borderId="1" xfId="1" applyNumberFormat="1" applyFont="1" applyBorder="1" applyAlignment="1">
      <alignment vertical="center"/>
    </xf>
    <xf numFmtId="16" fontId="0" fillId="0" borderId="1" xfId="0" applyNumberFormat="1" applyBorder="1" applyAlignment="1">
      <alignment horizontal="center" vertical="center" wrapText="1"/>
    </xf>
    <xf numFmtId="43" fontId="3" fillId="0" borderId="1" xfId="1" applyFont="1" applyBorder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64" fontId="3" fillId="10" borderId="1" xfId="6" applyFont="1" applyFill="1" applyBorder="1" applyAlignment="1">
      <alignment horizontal="center" vertical="center" wrapText="1"/>
    </xf>
    <xf numFmtId="164" fontId="31" fillId="11" borderId="1" xfId="6" applyFont="1" applyFill="1" applyBorder="1" applyAlignment="1">
      <alignment horizontal="center" vertical="center" wrapText="1"/>
    </xf>
    <xf numFmtId="164" fontId="1" fillId="6" borderId="1" xfId="6" applyFont="1" applyFill="1" applyBorder="1" applyAlignment="1">
      <alignment vertical="center"/>
    </xf>
    <xf numFmtId="164" fontId="1" fillId="7" borderId="1" xfId="6" applyFont="1" applyFill="1" applyBorder="1" applyAlignment="1">
      <alignment vertical="center"/>
    </xf>
    <xf numFmtId="164" fontId="1" fillId="8" borderId="1" xfId="6" applyFont="1" applyFill="1" applyBorder="1" applyAlignment="1">
      <alignment vertical="center"/>
    </xf>
    <xf numFmtId="0" fontId="41" fillId="0" borderId="0" xfId="0" applyFont="1" applyAlignment="1">
      <alignment vertical="center"/>
    </xf>
    <xf numFmtId="164" fontId="28" fillId="6" borderId="1" xfId="6" applyFont="1" applyFill="1" applyBorder="1" applyAlignment="1">
      <alignment vertical="center"/>
    </xf>
    <xf numFmtId="164" fontId="14" fillId="0" borderId="1" xfId="6" applyFont="1" applyBorder="1" applyAlignment="1">
      <alignment vertical="center"/>
    </xf>
    <xf numFmtId="0" fontId="0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165" fontId="41" fillId="5" borderId="1" xfId="0" applyNumberFormat="1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7" fillId="9" borderId="1" xfId="0" applyFont="1" applyFill="1" applyBorder="1" applyAlignment="1">
      <alignment horizontal="center" vertical="center" wrapText="1"/>
    </xf>
    <xf numFmtId="164" fontId="43" fillId="3" borderId="1" xfId="6" applyFont="1" applyFill="1" applyBorder="1" applyAlignment="1">
      <alignment vertical="center"/>
    </xf>
    <xf numFmtId="164" fontId="44" fillId="9" borderId="1" xfId="6" applyFont="1" applyFill="1" applyBorder="1" applyAlignment="1">
      <alignment vertical="center"/>
    </xf>
    <xf numFmtId="0" fontId="49" fillId="5" borderId="1" xfId="0" applyFont="1" applyFill="1" applyBorder="1" applyAlignment="1">
      <alignment horizontal="center" vertical="center" wrapText="1"/>
    </xf>
    <xf numFmtId="16" fontId="30" fillId="0" borderId="1" xfId="0" applyNumberFormat="1" applyFont="1" applyBorder="1" applyAlignment="1">
      <alignment vertical="center" wrapText="1"/>
    </xf>
    <xf numFmtId="41" fontId="4" fillId="0" borderId="1" xfId="4" applyFont="1" applyBorder="1" applyAlignment="1">
      <alignment horizontal="center" vertical="center" wrapText="1"/>
    </xf>
    <xf numFmtId="41" fontId="4" fillId="0" borderId="17" xfId="4" applyFont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 wrapText="1"/>
    </xf>
    <xf numFmtId="165" fontId="45" fillId="0" borderId="14" xfId="0" applyNumberFormat="1" applyFont="1" applyBorder="1" applyAlignment="1">
      <alignment horizontal="center" vertical="center" wrapText="1"/>
    </xf>
    <xf numFmtId="165" fontId="45" fillId="0" borderId="16" xfId="0" applyNumberFormat="1" applyFont="1" applyBorder="1" applyAlignment="1">
      <alignment horizontal="center" vertical="center" wrapText="1"/>
    </xf>
    <xf numFmtId="165" fontId="50" fillId="0" borderId="14" xfId="0" applyNumberFormat="1" applyFont="1" applyBorder="1" applyAlignment="1">
      <alignment horizontal="center" vertical="center" wrapText="1"/>
    </xf>
    <xf numFmtId="165" fontId="5" fillId="0" borderId="23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43" fontId="51" fillId="0" borderId="1" xfId="1" applyFont="1" applyBorder="1" applyAlignment="1">
      <alignment vertical="center"/>
    </xf>
    <xf numFmtId="41" fontId="53" fillId="3" borderId="1" xfId="4" applyFont="1" applyFill="1" applyBorder="1" applyAlignment="1">
      <alignment vertical="center"/>
    </xf>
    <xf numFmtId="10" fontId="54" fillId="4" borderId="1" xfId="0" applyNumberFormat="1" applyFont="1" applyFill="1" applyBorder="1" applyAlignment="1">
      <alignment horizontal="center" vertical="center"/>
    </xf>
    <xf numFmtId="167" fontId="52" fillId="3" borderId="1" xfId="0" applyNumberFormat="1" applyFont="1" applyFill="1" applyBorder="1" applyAlignment="1">
      <alignment vertical="center"/>
    </xf>
    <xf numFmtId="167" fontId="53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56" fillId="0" borderId="1" xfId="6" applyFont="1" applyBorder="1" applyAlignment="1">
      <alignment vertical="center"/>
    </xf>
    <xf numFmtId="0" fontId="0" fillId="0" borderId="0" xfId="0" applyAlignment="1">
      <alignment horizontal="center"/>
    </xf>
    <xf numFmtId="164" fontId="14" fillId="4" borderId="1" xfId="6" applyFont="1" applyFill="1" applyBorder="1" applyAlignment="1">
      <alignment vertical="center"/>
    </xf>
    <xf numFmtId="0" fontId="0" fillId="0" borderId="0" xfId="0" applyAlignment="1">
      <alignment horizontal="center"/>
    </xf>
    <xf numFmtId="43" fontId="22" fillId="0" borderId="2" xfId="1" applyFont="1" applyBorder="1" applyAlignment="1">
      <alignment horizontal="center" vertical="center"/>
    </xf>
    <xf numFmtId="43" fontId="22" fillId="0" borderId="3" xfId="1" applyFont="1" applyBorder="1" applyAlignment="1">
      <alignment horizontal="center" vertical="center"/>
    </xf>
    <xf numFmtId="43" fontId="12" fillId="0" borderId="2" xfId="1" applyFont="1" applyBorder="1" applyAlignment="1">
      <alignment horizontal="center" vertical="center"/>
    </xf>
    <xf numFmtId="43" fontId="12" fillId="0" borderId="3" xfId="1" applyFont="1" applyBorder="1" applyAlignment="1">
      <alignment horizontal="center" vertical="center"/>
    </xf>
    <xf numFmtId="43" fontId="13" fillId="0" borderId="2" xfId="1" applyFont="1" applyBorder="1" applyAlignment="1">
      <alignment horizontal="center" vertical="center"/>
    </xf>
    <xf numFmtId="43" fontId="13" fillId="0" borderId="3" xfId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textRotation="45" wrapText="1"/>
    </xf>
    <xf numFmtId="0" fontId="35" fillId="0" borderId="5" xfId="0" applyFont="1" applyBorder="1" applyAlignment="1">
      <alignment horizontal="center" vertical="center" textRotation="45" wrapText="1"/>
    </xf>
    <xf numFmtId="0" fontId="35" fillId="0" borderId="6" xfId="0" applyFont="1" applyBorder="1" applyAlignment="1">
      <alignment horizontal="center" vertical="center" textRotation="45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55" fillId="8" borderId="6" xfId="0" applyFont="1" applyFill="1" applyBorder="1" applyAlignment="1">
      <alignment horizontal="center" vertical="center" wrapText="1"/>
    </xf>
    <xf numFmtId="0" fontId="46" fillId="3" borderId="6" xfId="0" applyFont="1" applyFill="1" applyBorder="1" applyAlignment="1">
      <alignment horizontal="center" vertical="center" wrapText="1"/>
    </xf>
    <xf numFmtId="0" fontId="47" fillId="9" borderId="2" xfId="0" applyFont="1" applyFill="1" applyBorder="1" applyAlignment="1">
      <alignment horizontal="center" vertical="center" wrapText="1"/>
    </xf>
    <xf numFmtId="0" fontId="47" fillId="9" borderId="3" xfId="0" applyFont="1" applyFill="1" applyBorder="1" applyAlignment="1">
      <alignment horizontal="center" vertical="center" wrapText="1"/>
    </xf>
    <xf numFmtId="165" fontId="48" fillId="5" borderId="1" xfId="0" applyNumberFormat="1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55" fillId="6" borderId="1" xfId="0" applyFont="1" applyFill="1" applyBorder="1" applyAlignment="1">
      <alignment horizontal="center" vertical="center" wrapText="1"/>
    </xf>
    <xf numFmtId="0" fontId="55" fillId="7" borderId="6" xfId="0" applyFont="1" applyFill="1" applyBorder="1" applyAlignment="1">
      <alignment horizontal="center" vertical="center" wrapText="1"/>
    </xf>
    <xf numFmtId="0" fontId="53" fillId="3" borderId="0" xfId="0" applyFont="1" applyFill="1" applyBorder="1" applyAlignment="1">
      <alignment horizontal="center" vertical="center"/>
    </xf>
    <xf numFmtId="0" fontId="53" fillId="3" borderId="10" xfId="0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/>
    </xf>
    <xf numFmtId="0" fontId="54" fillId="4" borderId="10" xfId="0" applyFont="1" applyFill="1" applyBorder="1" applyAlignment="1">
      <alignment horizontal="center" vertical="center"/>
    </xf>
    <xf numFmtId="0" fontId="36" fillId="3" borderId="7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/>
    </xf>
    <xf numFmtId="165" fontId="40" fillId="0" borderId="19" xfId="0" applyNumberFormat="1" applyFont="1" applyBorder="1" applyAlignment="1">
      <alignment horizontal="center" vertical="center" wrapText="1"/>
    </xf>
    <xf numFmtId="165" fontId="40" fillId="0" borderId="20" xfId="0" applyNumberFormat="1" applyFont="1" applyBorder="1" applyAlignment="1">
      <alignment horizontal="center" vertical="center" wrapText="1"/>
    </xf>
    <xf numFmtId="165" fontId="40" fillId="0" borderId="24" xfId="0" applyNumberFormat="1" applyFont="1" applyBorder="1" applyAlignment="1">
      <alignment horizontal="center" vertical="center" wrapText="1"/>
    </xf>
    <xf numFmtId="165" fontId="40" fillId="0" borderId="21" xfId="0" applyNumberFormat="1" applyFont="1" applyBorder="1" applyAlignment="1">
      <alignment horizontal="center" vertical="center" wrapText="1"/>
    </xf>
    <xf numFmtId="165" fontId="40" fillId="0" borderId="0" xfId="0" applyNumberFormat="1" applyFont="1" applyBorder="1" applyAlignment="1">
      <alignment horizontal="center" vertical="center" wrapText="1"/>
    </xf>
    <xf numFmtId="165" fontId="40" fillId="0" borderId="9" xfId="0" applyNumberFormat="1" applyFont="1" applyBorder="1" applyAlignment="1">
      <alignment horizontal="center" vertical="center" wrapText="1"/>
    </xf>
    <xf numFmtId="165" fontId="40" fillId="0" borderId="22" xfId="0" applyNumberFormat="1" applyFont="1" applyBorder="1" applyAlignment="1">
      <alignment horizontal="center" vertical="center" wrapText="1"/>
    </xf>
    <xf numFmtId="165" fontId="40" fillId="0" borderId="7" xfId="0" applyNumberFormat="1" applyFont="1" applyBorder="1" applyAlignment="1">
      <alignment horizontal="center" vertical="center" wrapText="1"/>
    </xf>
    <xf numFmtId="165" fontId="40" fillId="0" borderId="25" xfId="0" applyNumberFormat="1" applyFont="1" applyBorder="1" applyAlignment="1">
      <alignment horizontal="center" vertical="center" wrapText="1"/>
    </xf>
  </cellXfs>
  <cellStyles count="9">
    <cellStyle name="Milliers" xfId="1" builtinId="3"/>
    <cellStyle name="Milliers [0]" xfId="4" builtinId="6"/>
    <cellStyle name="Milliers 2" xfId="3"/>
    <cellStyle name="Milliers 2 2 2 2" xfId="6"/>
    <cellStyle name="Milliers 2 2 3" xfId="7"/>
    <cellStyle name="Normal" xfId="0" builtinId="0"/>
    <cellStyle name="Normal 2" xfId="2"/>
    <cellStyle name="Normal 2 2" xfId="5"/>
    <cellStyle name="Pourcentage 2" xfId="8"/>
  </cellStyles>
  <dxfs count="24">
    <dxf>
      <font>
        <color rgb="FFFF0000"/>
      </font>
    </dxf>
    <dxf>
      <font>
        <b/>
        <i val="0"/>
        <color rgb="FFFF0000"/>
      </font>
    </dxf>
    <dxf>
      <font>
        <b val="0"/>
        <i/>
        <color rgb="FFFF0000"/>
      </font>
    </dxf>
    <dxf>
      <font>
        <b/>
        <i/>
        <color rgb="FFFF0000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5" formatCode="_-* #,##0.00_-;\-* #,##0.00_-;_-* &quot;-&quot;??_-;_-@_-"/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35" formatCode="_-* #,##0.00_-;\-* #,##0.00_-;_-* &quot;-&quot;??_-;_-@_-"/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au3" displayName="Tableau3" ref="A2:B63" totalsRowShown="0">
  <autoFilter ref="A2:B63"/>
  <sortState ref="A3:B46">
    <sortCondition ref="A3:A46"/>
  </sortState>
  <tableColumns count="2">
    <tableColumn id="1" name="COMPTE"/>
    <tableColumn id="2" name="NUMERO" dataDxfId="2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Tableau1" displayName="Tableau1" ref="A6:Q192" totalsRowShown="0" headerRowDxfId="22" dataDxfId="21">
  <autoFilter ref="A6:Q192"/>
  <sortState ref="A7:Q192">
    <sortCondition ref="A7"/>
  </sortState>
  <tableColumns count="17">
    <tableColumn id="1" name="DATE" dataDxfId="20"/>
    <tableColumn id="2" name="PAYER PAR" dataDxfId="19"/>
    <tableColumn id="3" name="IMPUTATION RAPPORT" dataDxfId="18"/>
    <tableColumn id="18" name="NUM FACTURE OU RECU REFERENCE" dataDxfId="17"/>
    <tableColumn id="4" name="LIBELLES" dataDxfId="16"/>
    <tableColumn id="7" name="FRNS / CLIENT/ BENEFICIAIRE/ DESTINATION" dataDxfId="15"/>
    <tableColumn id="8" name="ENTREE CAISSE" dataDxfId="14" dataCellStyle="Milliers"/>
    <tableColumn id="9" name="SORTIE CAISSE2" dataDxfId="13" dataCellStyle="Milliers"/>
    <tableColumn id="10" name="ENTRÉE BNI" dataDxfId="12" dataCellStyle="Milliers"/>
    <tableColumn id="11" name="SORTIE BNI" dataDxfId="11" dataCellStyle="Milliers"/>
    <tableColumn id="12" name="ENTRÉE BFV" dataDxfId="10" dataCellStyle="Milliers"/>
    <tableColumn id="13" name="SORTIE BFV" dataDxfId="9" dataCellStyle="Milliers"/>
    <tableColumn id="14" name="BON FOURNISSEUR" dataDxfId="8" dataCellStyle="Milliers"/>
    <tableColumn id="15" name="PAIEMENT FOURNISSEUR" dataDxfId="7" dataCellStyle="Milliers"/>
    <tableColumn id="16" name="PROMESSE DE PAIEMENT CLIENT / CLENT A RECEVOIR" dataDxfId="6" dataCellStyle="Milliers"/>
    <tableColumn id="17" name="PAIEMENT CLIENT" dataDxfId="5" dataCellStyle="Milliers"/>
    <tableColumn id="6" name="PIECES COMPTABLE NUMERIQUE" dataDxfId="4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63"/>
  <sheetViews>
    <sheetView topLeftCell="A40" workbookViewId="0">
      <selection activeCell="B65" sqref="B65"/>
    </sheetView>
  </sheetViews>
  <sheetFormatPr baseColWidth="10" defaultRowHeight="14.4" x14ac:dyDescent="0.3"/>
  <cols>
    <col min="1" max="1" width="42.5546875" customWidth="1"/>
    <col min="2" max="2" width="15.33203125" style="5" customWidth="1"/>
  </cols>
  <sheetData>
    <row r="1" spans="1:2" x14ac:dyDescent="0.3">
      <c r="A1" s="106" t="s">
        <v>4</v>
      </c>
      <c r="B1" s="106"/>
    </row>
    <row r="2" spans="1:2" x14ac:dyDescent="0.3">
      <c r="A2" t="s">
        <v>33</v>
      </c>
      <c r="B2" s="5" t="s">
        <v>34</v>
      </c>
    </row>
    <row r="3" spans="1:2" x14ac:dyDescent="0.3">
      <c r="A3" t="s">
        <v>23</v>
      </c>
      <c r="B3" s="5" t="s">
        <v>42</v>
      </c>
    </row>
    <row r="4" spans="1:2" x14ac:dyDescent="0.3">
      <c r="A4" t="s">
        <v>84</v>
      </c>
      <c r="B4" s="5" t="s">
        <v>43</v>
      </c>
    </row>
    <row r="5" spans="1:2" x14ac:dyDescent="0.3">
      <c r="A5" t="s">
        <v>83</v>
      </c>
      <c r="B5" s="5" t="s">
        <v>44</v>
      </c>
    </row>
    <row r="6" spans="1:2" x14ac:dyDescent="0.3">
      <c r="A6" t="s">
        <v>29</v>
      </c>
      <c r="B6" s="5" t="s">
        <v>36</v>
      </c>
    </row>
    <row r="7" spans="1:2" x14ac:dyDescent="0.3">
      <c r="A7" t="s">
        <v>30</v>
      </c>
      <c r="B7" s="5" t="s">
        <v>72</v>
      </c>
    </row>
    <row r="8" spans="1:2" x14ac:dyDescent="0.3">
      <c r="A8" t="s">
        <v>103</v>
      </c>
      <c r="B8" s="5" t="s">
        <v>104</v>
      </c>
    </row>
    <row r="9" spans="1:2" x14ac:dyDescent="0.3">
      <c r="A9" t="s">
        <v>69</v>
      </c>
      <c r="B9" s="16" t="s">
        <v>70</v>
      </c>
    </row>
    <row r="10" spans="1:2" x14ac:dyDescent="0.3">
      <c r="A10" t="s">
        <v>53</v>
      </c>
      <c r="B10" s="5" t="s">
        <v>54</v>
      </c>
    </row>
    <row r="11" spans="1:2" x14ac:dyDescent="0.3">
      <c r="A11" t="s">
        <v>90</v>
      </c>
      <c r="B11" s="5" t="s">
        <v>94</v>
      </c>
    </row>
    <row r="12" spans="1:2" x14ac:dyDescent="0.3">
      <c r="A12" t="s">
        <v>79</v>
      </c>
      <c r="B12" s="5" t="s">
        <v>80</v>
      </c>
    </row>
    <row r="13" spans="1:2" x14ac:dyDescent="0.3">
      <c r="A13" t="s">
        <v>27</v>
      </c>
      <c r="B13" s="5" t="s">
        <v>65</v>
      </c>
    </row>
    <row r="14" spans="1:2" x14ac:dyDescent="0.3">
      <c r="A14" t="s">
        <v>25</v>
      </c>
      <c r="B14" s="5" t="s">
        <v>48</v>
      </c>
    </row>
    <row r="15" spans="1:2" x14ac:dyDescent="0.3">
      <c r="A15" t="s">
        <v>21</v>
      </c>
      <c r="B15" s="5" t="s">
        <v>35</v>
      </c>
    </row>
    <row r="16" spans="1:2" x14ac:dyDescent="0.3">
      <c r="A16" t="s">
        <v>39</v>
      </c>
      <c r="B16" s="5" t="s">
        <v>40</v>
      </c>
    </row>
    <row r="17" spans="1:2" x14ac:dyDescent="0.3">
      <c r="A17" t="s">
        <v>22</v>
      </c>
      <c r="B17" s="5" t="s">
        <v>38</v>
      </c>
    </row>
    <row r="18" spans="1:2" x14ac:dyDescent="0.3">
      <c r="A18" t="s">
        <v>89</v>
      </c>
      <c r="B18" s="5" t="s">
        <v>93</v>
      </c>
    </row>
    <row r="19" spans="1:2" x14ac:dyDescent="0.3">
      <c r="A19" t="s">
        <v>88</v>
      </c>
      <c r="B19" s="5" t="s">
        <v>92</v>
      </c>
    </row>
    <row r="20" spans="1:2" x14ac:dyDescent="0.3">
      <c r="A20" t="s">
        <v>87</v>
      </c>
      <c r="B20" s="5" t="s">
        <v>86</v>
      </c>
    </row>
    <row r="21" spans="1:2" x14ac:dyDescent="0.3">
      <c r="A21" t="s">
        <v>60</v>
      </c>
      <c r="B21" s="5" t="s">
        <v>59</v>
      </c>
    </row>
    <row r="22" spans="1:2" x14ac:dyDescent="0.3">
      <c r="A22" t="s">
        <v>55</v>
      </c>
      <c r="B22" s="5" t="s">
        <v>56</v>
      </c>
    </row>
    <row r="23" spans="1:2" x14ac:dyDescent="0.3">
      <c r="A23" t="s">
        <v>61</v>
      </c>
      <c r="B23" s="5" t="s">
        <v>62</v>
      </c>
    </row>
    <row r="24" spans="1:2" x14ac:dyDescent="0.3">
      <c r="A24" t="s">
        <v>26</v>
      </c>
      <c r="B24" s="5" t="s">
        <v>45</v>
      </c>
    </row>
    <row r="25" spans="1:2" x14ac:dyDescent="0.3">
      <c r="A25" t="s">
        <v>85</v>
      </c>
      <c r="B25" s="5" t="s">
        <v>45</v>
      </c>
    </row>
    <row r="26" spans="1:2" x14ac:dyDescent="0.3">
      <c r="A26" t="s">
        <v>46</v>
      </c>
      <c r="B26" s="5" t="s">
        <v>47</v>
      </c>
    </row>
    <row r="27" spans="1:2" x14ac:dyDescent="0.3">
      <c r="A27" t="s">
        <v>67</v>
      </c>
      <c r="B27" s="5" t="s">
        <v>68</v>
      </c>
    </row>
    <row r="28" spans="1:2" x14ac:dyDescent="0.3">
      <c r="A28" t="s">
        <v>63</v>
      </c>
      <c r="B28" s="5" t="s">
        <v>64</v>
      </c>
    </row>
    <row r="29" spans="1:2" x14ac:dyDescent="0.3">
      <c r="A29" t="s">
        <v>91</v>
      </c>
      <c r="B29" s="5" t="s">
        <v>95</v>
      </c>
    </row>
    <row r="30" spans="1:2" x14ac:dyDescent="0.3">
      <c r="A30" t="s">
        <v>66</v>
      </c>
      <c r="B30" s="5" t="s">
        <v>117</v>
      </c>
    </row>
    <row r="31" spans="1:2" x14ac:dyDescent="0.3">
      <c r="A31" t="s">
        <v>28</v>
      </c>
      <c r="B31" s="5" t="s">
        <v>71</v>
      </c>
    </row>
    <row r="32" spans="1:2" x14ac:dyDescent="0.3">
      <c r="A32" t="s">
        <v>73</v>
      </c>
      <c r="B32" s="6" t="s">
        <v>74</v>
      </c>
    </row>
    <row r="33" spans="1:2" x14ac:dyDescent="0.3">
      <c r="A33" t="s">
        <v>49</v>
      </c>
      <c r="B33" s="6" t="s">
        <v>50</v>
      </c>
    </row>
    <row r="34" spans="1:2" x14ac:dyDescent="0.3">
      <c r="A34" t="s">
        <v>31</v>
      </c>
      <c r="B34" s="6" t="s">
        <v>37</v>
      </c>
    </row>
    <row r="35" spans="1:2" x14ac:dyDescent="0.3">
      <c r="A35" t="s">
        <v>41</v>
      </c>
      <c r="B35" s="6" t="s">
        <v>78</v>
      </c>
    </row>
    <row r="36" spans="1:2" x14ac:dyDescent="0.3">
      <c r="A36" t="s">
        <v>51</v>
      </c>
      <c r="B36" s="6" t="s">
        <v>52</v>
      </c>
    </row>
    <row r="37" spans="1:2" x14ac:dyDescent="0.3">
      <c r="A37" t="s">
        <v>81</v>
      </c>
      <c r="B37" s="6" t="s">
        <v>82</v>
      </c>
    </row>
    <row r="38" spans="1:2" x14ac:dyDescent="0.3">
      <c r="A38" t="s">
        <v>57</v>
      </c>
      <c r="B38" s="6" t="s">
        <v>58</v>
      </c>
    </row>
    <row r="39" spans="1:2" x14ac:dyDescent="0.3">
      <c r="A39" t="s">
        <v>76</v>
      </c>
      <c r="B39" s="6" t="s">
        <v>77</v>
      </c>
    </row>
    <row r="40" spans="1:2" x14ac:dyDescent="0.3">
      <c r="A40" t="s">
        <v>100</v>
      </c>
      <c r="B40" s="6" t="s">
        <v>92</v>
      </c>
    </row>
    <row r="41" spans="1:2" x14ac:dyDescent="0.3">
      <c r="A41" t="s">
        <v>99</v>
      </c>
      <c r="B41" s="6" t="s">
        <v>86</v>
      </c>
    </row>
    <row r="42" spans="1:2" x14ac:dyDescent="0.3">
      <c r="A42" t="s">
        <v>97</v>
      </c>
      <c r="B42" s="6" t="s">
        <v>86</v>
      </c>
    </row>
    <row r="43" spans="1:2" x14ac:dyDescent="0.3">
      <c r="A43" t="s">
        <v>101</v>
      </c>
      <c r="B43" s="6" t="s">
        <v>93</v>
      </c>
    </row>
    <row r="44" spans="1:2" x14ac:dyDescent="0.3">
      <c r="A44" t="s">
        <v>98</v>
      </c>
      <c r="B44" s="6" t="s">
        <v>93</v>
      </c>
    </row>
    <row r="45" spans="1:2" x14ac:dyDescent="0.3">
      <c r="A45" t="s">
        <v>96</v>
      </c>
      <c r="B45" s="6" t="s">
        <v>92</v>
      </c>
    </row>
    <row r="46" spans="1:2" x14ac:dyDescent="0.3">
      <c r="A46" t="s">
        <v>24</v>
      </c>
      <c r="B46" s="5" t="s">
        <v>75</v>
      </c>
    </row>
    <row r="47" spans="1:2" x14ac:dyDescent="0.3">
      <c r="A47" t="s">
        <v>106</v>
      </c>
      <c r="B47" s="21" t="s">
        <v>74</v>
      </c>
    </row>
    <row r="48" spans="1:2" x14ac:dyDescent="0.3">
      <c r="A48" t="s">
        <v>110</v>
      </c>
      <c r="B48" s="22" t="s">
        <v>114</v>
      </c>
    </row>
    <row r="49" spans="1:2" x14ac:dyDescent="0.3">
      <c r="A49" t="s">
        <v>111</v>
      </c>
      <c r="B49" s="22" t="s">
        <v>115</v>
      </c>
    </row>
    <row r="50" spans="1:2" x14ac:dyDescent="0.3">
      <c r="A50" t="s">
        <v>119</v>
      </c>
      <c r="B50" s="26" t="s">
        <v>120</v>
      </c>
    </row>
    <row r="51" spans="1:2" x14ac:dyDescent="0.3">
      <c r="A51" t="s">
        <v>121</v>
      </c>
      <c r="B51" s="27" t="s">
        <v>122</v>
      </c>
    </row>
    <row r="52" spans="1:2" x14ac:dyDescent="0.3">
      <c r="A52" t="s">
        <v>123</v>
      </c>
      <c r="B52" s="28" t="s">
        <v>124</v>
      </c>
    </row>
    <row r="53" spans="1:2" x14ac:dyDescent="0.3">
      <c r="A53" t="s">
        <v>126</v>
      </c>
      <c r="B53" s="46"/>
    </row>
    <row r="54" spans="1:2" x14ac:dyDescent="0.3">
      <c r="A54" t="s">
        <v>127</v>
      </c>
      <c r="B54" s="50"/>
    </row>
    <row r="55" spans="1:2" x14ac:dyDescent="0.3">
      <c r="A55" t="s">
        <v>131</v>
      </c>
      <c r="B55" s="55"/>
    </row>
    <row r="56" spans="1:2" x14ac:dyDescent="0.3">
      <c r="A56" t="s">
        <v>133</v>
      </c>
      <c r="B56" s="56"/>
    </row>
    <row r="57" spans="1:2" x14ac:dyDescent="0.3">
      <c r="A57" t="s">
        <v>165</v>
      </c>
      <c r="B57" s="97"/>
    </row>
    <row r="58" spans="1:2" x14ac:dyDescent="0.3">
      <c r="A58" t="s">
        <v>144</v>
      </c>
      <c r="B58" s="101"/>
    </row>
    <row r="59" spans="1:2" x14ac:dyDescent="0.3">
      <c r="A59" t="s">
        <v>166</v>
      </c>
      <c r="B59" s="102"/>
    </row>
    <row r="60" spans="1:2" x14ac:dyDescent="0.3">
      <c r="A60" t="s">
        <v>167</v>
      </c>
      <c r="B60" s="102"/>
    </row>
    <row r="61" spans="1:2" x14ac:dyDescent="0.3">
      <c r="A61" t="s">
        <v>168</v>
      </c>
      <c r="B61" s="104"/>
    </row>
    <row r="62" spans="1:2" x14ac:dyDescent="0.3">
      <c r="A62" t="s">
        <v>169</v>
      </c>
      <c r="B62" s="104"/>
    </row>
    <row r="63" spans="1:2" x14ac:dyDescent="0.3">
      <c r="A63" t="s">
        <v>170</v>
      </c>
      <c r="B63" s="104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Q192"/>
  <sheetViews>
    <sheetView tabSelected="1" view="pageBreakPreview" zoomScale="68" zoomScaleNormal="100" zoomScaleSheetLayoutView="68" workbookViewId="0">
      <pane xSplit="6" ySplit="6" topLeftCell="G31" activePane="bottomRight" state="frozen"/>
      <selection pane="topRight" activeCell="H1" sqref="H1"/>
      <selection pane="bottomLeft" activeCell="A7" sqref="A7"/>
      <selection pane="bottomRight" activeCell="K3" sqref="K3"/>
    </sheetView>
  </sheetViews>
  <sheetFormatPr baseColWidth="10" defaultRowHeight="14.4" x14ac:dyDescent="0.3"/>
  <cols>
    <col min="1" max="1" width="12.6640625" style="11" customWidth="1"/>
    <col min="2" max="2" width="15.33203125" style="3" customWidth="1"/>
    <col min="3" max="3" width="27.6640625" style="3" customWidth="1"/>
    <col min="4" max="4" width="12.33203125" style="3" customWidth="1"/>
    <col min="5" max="5" width="68.6640625" style="1" customWidth="1"/>
    <col min="6" max="6" width="23.88671875" style="4" customWidth="1"/>
    <col min="7" max="10" width="19.33203125" style="2" customWidth="1"/>
    <col min="11" max="11" width="21.44140625" style="2" customWidth="1"/>
    <col min="12" max="12" width="20.21875" style="2" bestFit="1" customWidth="1"/>
    <col min="13" max="13" width="21.33203125" style="2" customWidth="1"/>
    <col min="14" max="14" width="19.6640625" style="2" customWidth="1"/>
    <col min="15" max="16" width="19.33203125" style="2" customWidth="1"/>
    <col min="17" max="17" width="18.33203125" customWidth="1"/>
  </cols>
  <sheetData>
    <row r="1" spans="1:17" s="8" customFormat="1" ht="18" customHeight="1" x14ac:dyDescent="0.3">
      <c r="A1" s="9"/>
      <c r="B1" s="10"/>
      <c r="C1" s="10"/>
      <c r="D1" s="10"/>
      <c r="E1" s="113" t="s">
        <v>174</v>
      </c>
      <c r="F1" s="18" t="s">
        <v>16</v>
      </c>
      <c r="G1" s="116" t="s">
        <v>17</v>
      </c>
      <c r="H1" s="117"/>
      <c r="I1" s="116" t="s">
        <v>32</v>
      </c>
      <c r="J1" s="117"/>
      <c r="K1" s="116" t="s">
        <v>18</v>
      </c>
      <c r="L1" s="117"/>
      <c r="M1" s="116" t="s">
        <v>19</v>
      </c>
      <c r="N1" s="117"/>
      <c r="O1" s="116" t="s">
        <v>20</v>
      </c>
      <c r="P1" s="117"/>
    </row>
    <row r="2" spans="1:17" s="8" customFormat="1" ht="27" customHeight="1" x14ac:dyDescent="0.3">
      <c r="A2" s="9"/>
      <c r="B2" s="10"/>
      <c r="C2" s="10"/>
      <c r="D2" s="10"/>
      <c r="E2" s="114"/>
      <c r="F2" s="19" t="s">
        <v>13</v>
      </c>
      <c r="G2" s="107">
        <v>2500000</v>
      </c>
      <c r="H2" s="108"/>
      <c r="I2" s="107">
        <v>5000000</v>
      </c>
      <c r="J2" s="108"/>
      <c r="K2" s="107">
        <v>7500000</v>
      </c>
      <c r="L2" s="108"/>
      <c r="M2" s="107"/>
      <c r="N2" s="108"/>
      <c r="O2" s="107"/>
      <c r="P2" s="108"/>
    </row>
    <row r="3" spans="1:17" s="8" customFormat="1" ht="27" customHeight="1" x14ac:dyDescent="0.3">
      <c r="A3" s="9"/>
      <c r="B3" s="10"/>
      <c r="C3" s="10"/>
      <c r="D3" s="10"/>
      <c r="E3" s="114"/>
      <c r="F3" s="53" t="s">
        <v>128</v>
      </c>
      <c r="G3" s="51">
        <f>SUM(Tableau1[ENTREE CAISSE])</f>
        <v>14197520.779999999</v>
      </c>
      <c r="H3" s="52">
        <f>SUM(Tableau1[SORTIE CAISSE2])</f>
        <v>16563077.699999999</v>
      </c>
      <c r="I3" s="23">
        <f>SUM(Tableau1[ENTRÉE BNI])</f>
        <v>860157.69</v>
      </c>
      <c r="J3" s="24">
        <f>SUM(Tableau1[SORTIE BNI])</f>
        <v>2214509.4500000002</v>
      </c>
      <c r="K3" s="23">
        <f>SUM(Tableau1[ENTRÉE BFV])</f>
        <v>14087877.699999999</v>
      </c>
      <c r="L3" s="24">
        <f>SUM(Tableau1[SORTIE BFV])</f>
        <v>0</v>
      </c>
      <c r="M3" s="7">
        <f>SUM(Tableau1[BON FOURNISSEUR])</f>
        <v>4620620</v>
      </c>
      <c r="N3" s="25">
        <f>SUM(Tableau1[PAIEMENT FOURNISSEUR])</f>
        <v>0</v>
      </c>
      <c r="O3" s="25">
        <f>SUM(Tableau1[PROMESSE DE PAIEMENT CLIENT / CLENT A RECEVOIR])</f>
        <v>0</v>
      </c>
      <c r="P3" s="25">
        <f>SUM(Tableau1[PAIEMENT CLIENT])</f>
        <v>0</v>
      </c>
    </row>
    <row r="4" spans="1:17" s="8" customFormat="1" ht="27" customHeight="1" x14ac:dyDescent="0.3">
      <c r="A4" s="9"/>
      <c r="B4" s="10"/>
      <c r="C4" s="10"/>
      <c r="D4" s="10"/>
      <c r="E4" s="114"/>
      <c r="F4" s="54" t="s">
        <v>14</v>
      </c>
      <c r="G4" s="111">
        <f>G3-H3</f>
        <v>-2365556.92</v>
      </c>
      <c r="H4" s="112"/>
      <c r="I4" s="111">
        <f>I3-J3</f>
        <v>-1354351.7600000002</v>
      </c>
      <c r="J4" s="112"/>
      <c r="K4" s="111">
        <f>K3-L3</f>
        <v>14087877.699999999</v>
      </c>
      <c r="L4" s="112"/>
      <c r="M4" s="111">
        <f>M3-N3</f>
        <v>4620620</v>
      </c>
      <c r="N4" s="112"/>
      <c r="O4" s="111">
        <f>O3-P3</f>
        <v>0</v>
      </c>
      <c r="P4" s="112"/>
    </row>
    <row r="5" spans="1:17" s="8" customFormat="1" ht="27" customHeight="1" x14ac:dyDescent="0.3">
      <c r="A5" s="9"/>
      <c r="B5" s="10"/>
      <c r="C5" s="10"/>
      <c r="D5" s="10"/>
      <c r="E5" s="115"/>
      <c r="F5" s="20" t="s">
        <v>15</v>
      </c>
      <c r="G5" s="109">
        <f>G2+G4</f>
        <v>134443.08000000007</v>
      </c>
      <c r="H5" s="110"/>
      <c r="I5" s="109">
        <f>I2+I4</f>
        <v>3645648.2399999998</v>
      </c>
      <c r="J5" s="110"/>
      <c r="K5" s="109">
        <f>K2+K4</f>
        <v>21587877.699999999</v>
      </c>
      <c r="L5" s="110"/>
      <c r="M5" s="109">
        <f>M2+M4</f>
        <v>4620620</v>
      </c>
      <c r="N5" s="110"/>
      <c r="O5" s="109">
        <f>O2+O4</f>
        <v>0</v>
      </c>
      <c r="P5" s="110"/>
    </row>
    <row r="6" spans="1:17" s="3" customFormat="1" ht="57" customHeight="1" x14ac:dyDescent="0.3">
      <c r="A6" s="12" t="s">
        <v>0</v>
      </c>
      <c r="B6" s="13" t="s">
        <v>1</v>
      </c>
      <c r="C6" s="13" t="s">
        <v>2</v>
      </c>
      <c r="D6" s="17" t="s">
        <v>102</v>
      </c>
      <c r="E6" s="15" t="s">
        <v>3</v>
      </c>
      <c r="F6" s="13" t="s">
        <v>5</v>
      </c>
      <c r="G6" s="14" t="s">
        <v>87</v>
      </c>
      <c r="H6" s="14" t="s">
        <v>132</v>
      </c>
      <c r="I6" s="14" t="s">
        <v>6</v>
      </c>
      <c r="J6" s="14" t="s">
        <v>7</v>
      </c>
      <c r="K6" s="14" t="s">
        <v>8</v>
      </c>
      <c r="L6" s="14" t="s">
        <v>9</v>
      </c>
      <c r="M6" s="14" t="s">
        <v>10</v>
      </c>
      <c r="N6" s="14" t="s">
        <v>11</v>
      </c>
      <c r="O6" s="45" t="s">
        <v>125</v>
      </c>
      <c r="P6" s="14" t="s">
        <v>12</v>
      </c>
      <c r="Q6" s="13" t="s">
        <v>118</v>
      </c>
    </row>
    <row r="7" spans="1:17" ht="33.75" customHeight="1" x14ac:dyDescent="0.3">
      <c r="A7" s="29">
        <v>45105</v>
      </c>
      <c r="B7" s="30" t="s">
        <v>185</v>
      </c>
      <c r="C7" s="31" t="s">
        <v>103</v>
      </c>
      <c r="D7" s="30"/>
      <c r="E7" s="48" t="s">
        <v>206</v>
      </c>
      <c r="F7" s="49" t="s">
        <v>207</v>
      </c>
      <c r="G7" s="59"/>
      <c r="H7" s="59">
        <v>168000</v>
      </c>
      <c r="I7" s="59"/>
      <c r="J7" s="59"/>
      <c r="K7" s="59"/>
      <c r="L7" s="59"/>
      <c r="M7" s="57"/>
      <c r="N7" s="57"/>
      <c r="O7" s="59"/>
      <c r="P7" s="59"/>
      <c r="Q7" s="59"/>
    </row>
    <row r="8" spans="1:17" ht="33.75" customHeight="1" x14ac:dyDescent="0.3">
      <c r="A8" s="29">
        <v>45108</v>
      </c>
      <c r="B8" s="30" t="s">
        <v>185</v>
      </c>
      <c r="C8" s="31" t="s">
        <v>73</v>
      </c>
      <c r="D8" s="30"/>
      <c r="E8" s="48" t="s">
        <v>223</v>
      </c>
      <c r="F8" s="49" t="s">
        <v>224</v>
      </c>
      <c r="G8" s="33"/>
      <c r="H8" s="33">
        <v>1300000</v>
      </c>
      <c r="I8" s="33"/>
      <c r="J8" s="33"/>
      <c r="K8" s="33"/>
      <c r="L8" s="33"/>
      <c r="M8" s="33"/>
      <c r="N8" s="34"/>
      <c r="O8" s="33"/>
      <c r="P8" s="33"/>
      <c r="Q8" s="33"/>
    </row>
    <row r="9" spans="1:17" ht="33.75" customHeight="1" x14ac:dyDescent="0.3">
      <c r="A9" s="29">
        <v>45108</v>
      </c>
      <c r="B9" s="30" t="s">
        <v>185</v>
      </c>
      <c r="C9" s="31" t="s">
        <v>73</v>
      </c>
      <c r="D9" s="30"/>
      <c r="E9" s="48" t="s">
        <v>225</v>
      </c>
      <c r="F9" s="49" t="s">
        <v>226</v>
      </c>
      <c r="G9" s="33"/>
      <c r="H9" s="33">
        <v>275000</v>
      </c>
      <c r="I9" s="33"/>
      <c r="J9" s="33"/>
      <c r="K9" s="33"/>
      <c r="L9" s="33"/>
      <c r="M9" s="33"/>
      <c r="N9" s="34"/>
      <c r="O9" s="33"/>
      <c r="P9" s="33"/>
      <c r="Q9" s="33"/>
    </row>
    <row r="10" spans="1:17" ht="33.75" customHeight="1" x14ac:dyDescent="0.3">
      <c r="A10" s="29">
        <v>45110</v>
      </c>
      <c r="B10" s="30" t="s">
        <v>185</v>
      </c>
      <c r="C10" s="31" t="s">
        <v>26</v>
      </c>
      <c r="D10" s="30" t="s">
        <v>188</v>
      </c>
      <c r="E10" s="48" t="s">
        <v>189</v>
      </c>
      <c r="F10" s="49" t="s">
        <v>130</v>
      </c>
      <c r="G10" s="33"/>
      <c r="H10" s="33">
        <v>58000</v>
      </c>
      <c r="I10" s="33"/>
      <c r="J10" s="33"/>
      <c r="K10" s="33"/>
      <c r="L10" s="33"/>
      <c r="M10" s="34"/>
      <c r="N10" s="34"/>
      <c r="O10" s="33"/>
      <c r="P10" s="33"/>
      <c r="Q10" s="33"/>
    </row>
    <row r="11" spans="1:17" ht="33.75" customHeight="1" x14ac:dyDescent="0.3">
      <c r="A11" s="29">
        <v>45111</v>
      </c>
      <c r="B11" s="30" t="s">
        <v>185</v>
      </c>
      <c r="C11" s="31" t="s">
        <v>63</v>
      </c>
      <c r="D11" s="30"/>
      <c r="E11" s="48" t="s">
        <v>193</v>
      </c>
      <c r="F11" s="49" t="s">
        <v>194</v>
      </c>
      <c r="G11" s="59"/>
      <c r="H11" s="59">
        <v>600000</v>
      </c>
      <c r="I11" s="59"/>
      <c r="J11" s="59"/>
      <c r="K11" s="59"/>
      <c r="L11" s="59"/>
      <c r="M11" s="57"/>
      <c r="N11" s="57"/>
      <c r="O11" s="59"/>
      <c r="P11" s="59"/>
      <c r="Q11" s="59"/>
    </row>
    <row r="12" spans="1:17" ht="33.75" customHeight="1" x14ac:dyDescent="0.3">
      <c r="A12" s="29">
        <v>45111</v>
      </c>
      <c r="B12" s="30" t="s">
        <v>185</v>
      </c>
      <c r="C12" s="31" t="s">
        <v>51</v>
      </c>
      <c r="D12" s="30"/>
      <c r="E12" s="48" t="s">
        <v>229</v>
      </c>
      <c r="F12" s="49" t="s">
        <v>228</v>
      </c>
      <c r="G12" s="59"/>
      <c r="H12" s="59">
        <v>93000</v>
      </c>
      <c r="I12" s="59"/>
      <c r="J12" s="59"/>
      <c r="K12" s="59"/>
      <c r="L12" s="59"/>
      <c r="M12" s="57"/>
      <c r="N12" s="57"/>
      <c r="O12" s="59"/>
      <c r="P12" s="59"/>
      <c r="Q12" s="59"/>
    </row>
    <row r="13" spans="1:17" ht="33.75" customHeight="1" x14ac:dyDescent="0.3">
      <c r="A13" s="29">
        <v>45111</v>
      </c>
      <c r="B13" s="30" t="s">
        <v>164</v>
      </c>
      <c r="C13" s="31" t="s">
        <v>91</v>
      </c>
      <c r="D13" s="30" t="s">
        <v>230</v>
      </c>
      <c r="E13" s="48" t="s">
        <v>231</v>
      </c>
      <c r="F13" s="49" t="s">
        <v>129</v>
      </c>
      <c r="G13" s="59"/>
      <c r="H13" s="59"/>
      <c r="I13" s="59"/>
      <c r="J13" s="59"/>
      <c r="K13" s="59"/>
      <c r="L13" s="59"/>
      <c r="M13" s="57">
        <v>1647000</v>
      </c>
      <c r="N13" s="57"/>
      <c r="O13" s="59"/>
      <c r="P13" s="59"/>
      <c r="Q13" s="59"/>
    </row>
    <row r="14" spans="1:17" ht="33.75" customHeight="1" x14ac:dyDescent="0.3">
      <c r="A14" s="35">
        <v>45111</v>
      </c>
      <c r="B14" s="36" t="s">
        <v>232</v>
      </c>
      <c r="C14" s="42" t="s">
        <v>110</v>
      </c>
      <c r="D14" s="36">
        <v>1256426</v>
      </c>
      <c r="E14" s="38" t="s">
        <v>233</v>
      </c>
      <c r="F14" s="39" t="s">
        <v>234</v>
      </c>
      <c r="G14" s="40"/>
      <c r="H14" s="40"/>
      <c r="I14" s="40"/>
      <c r="J14" s="40">
        <v>131341.45000000001</v>
      </c>
      <c r="K14" s="40"/>
      <c r="L14" s="40"/>
      <c r="M14" s="40"/>
      <c r="N14" s="41"/>
      <c r="O14" s="40"/>
      <c r="P14" s="40"/>
      <c r="Q14" s="40"/>
    </row>
    <row r="15" spans="1:17" ht="33" customHeight="1" x14ac:dyDescent="0.3">
      <c r="A15" s="29">
        <v>45112</v>
      </c>
      <c r="B15" s="30" t="s">
        <v>179</v>
      </c>
      <c r="C15" s="31" t="s">
        <v>21</v>
      </c>
      <c r="D15" s="30">
        <v>10254</v>
      </c>
      <c r="E15" s="48" t="s">
        <v>204</v>
      </c>
      <c r="F15" s="49" t="s">
        <v>205</v>
      </c>
      <c r="G15" s="33"/>
      <c r="H15" s="33"/>
      <c r="I15" s="33"/>
      <c r="J15" s="33"/>
      <c r="K15" s="33">
        <v>564300</v>
      </c>
      <c r="L15" s="33"/>
      <c r="M15" s="34"/>
      <c r="N15" s="34"/>
      <c r="O15" s="33"/>
      <c r="P15" s="33"/>
      <c r="Q15" s="33"/>
    </row>
    <row r="16" spans="1:17" ht="33.75" customHeight="1" x14ac:dyDescent="0.3">
      <c r="A16" s="29">
        <v>45112</v>
      </c>
      <c r="B16" s="30" t="s">
        <v>214</v>
      </c>
      <c r="C16" s="31" t="s">
        <v>29</v>
      </c>
      <c r="D16" s="30">
        <v>10250</v>
      </c>
      <c r="E16" s="48" t="s">
        <v>216</v>
      </c>
      <c r="F16" s="49" t="s">
        <v>215</v>
      </c>
      <c r="G16" s="59">
        <v>20000</v>
      </c>
      <c r="H16" s="59"/>
      <c r="I16" s="59"/>
      <c r="J16" s="59"/>
      <c r="K16" s="59"/>
      <c r="L16" s="59"/>
      <c r="M16" s="57"/>
      <c r="N16" s="57"/>
      <c r="O16" s="59"/>
      <c r="P16" s="59"/>
      <c r="Q16" s="59"/>
    </row>
    <row r="17" spans="1:17" ht="33.75" customHeight="1" x14ac:dyDescent="0.3">
      <c r="A17" s="29">
        <v>45112</v>
      </c>
      <c r="B17" s="30" t="s">
        <v>217</v>
      </c>
      <c r="C17" s="31" t="s">
        <v>21</v>
      </c>
      <c r="D17" s="30">
        <v>10251</v>
      </c>
      <c r="E17" s="48" t="s">
        <v>218</v>
      </c>
      <c r="F17" s="49" t="s">
        <v>219</v>
      </c>
      <c r="G17" s="59">
        <v>176167.2</v>
      </c>
      <c r="H17" s="59"/>
      <c r="I17" s="59"/>
      <c r="J17" s="59"/>
      <c r="K17" s="59"/>
      <c r="L17" s="59"/>
      <c r="M17" s="57"/>
      <c r="N17" s="57"/>
      <c r="O17" s="59"/>
      <c r="P17" s="59"/>
      <c r="Q17" s="59"/>
    </row>
    <row r="18" spans="1:17" ht="33.75" customHeight="1" x14ac:dyDescent="0.3">
      <c r="A18" s="29">
        <v>45112</v>
      </c>
      <c r="B18" s="30" t="s">
        <v>220</v>
      </c>
      <c r="C18" s="31" t="s">
        <v>21</v>
      </c>
      <c r="D18" s="30">
        <v>10252</v>
      </c>
      <c r="E18" s="48" t="s">
        <v>221</v>
      </c>
      <c r="F18" s="49" t="s">
        <v>222</v>
      </c>
      <c r="G18" s="59">
        <v>12554497.58</v>
      </c>
      <c r="H18" s="59"/>
      <c r="I18" s="59"/>
      <c r="J18" s="59"/>
      <c r="K18" s="59"/>
      <c r="L18" s="59"/>
      <c r="M18" s="57"/>
      <c r="N18" s="57"/>
      <c r="O18" s="59"/>
      <c r="P18" s="59"/>
      <c r="Q18" s="59"/>
    </row>
    <row r="19" spans="1:17" ht="33.75" customHeight="1" x14ac:dyDescent="0.3">
      <c r="A19" s="29">
        <v>45113</v>
      </c>
      <c r="B19" s="30" t="s">
        <v>185</v>
      </c>
      <c r="C19" s="31" t="s">
        <v>60</v>
      </c>
      <c r="D19" s="30"/>
      <c r="E19" s="48" t="s">
        <v>190</v>
      </c>
      <c r="F19" s="49" t="s">
        <v>191</v>
      </c>
      <c r="G19" s="33"/>
      <c r="H19" s="33">
        <v>7000</v>
      </c>
      <c r="I19" s="33"/>
      <c r="J19" s="33"/>
      <c r="K19" s="33"/>
      <c r="L19" s="33"/>
      <c r="M19" s="34"/>
      <c r="N19" s="34"/>
      <c r="O19" s="33"/>
      <c r="P19" s="33"/>
      <c r="Q19" s="33"/>
    </row>
    <row r="20" spans="1:17" ht="33.75" customHeight="1" x14ac:dyDescent="0.3">
      <c r="A20" s="29">
        <v>45113</v>
      </c>
      <c r="B20" s="30" t="s">
        <v>185</v>
      </c>
      <c r="C20" s="31" t="s">
        <v>103</v>
      </c>
      <c r="D20" s="30"/>
      <c r="E20" s="48" t="s">
        <v>206</v>
      </c>
      <c r="F20" s="49" t="s">
        <v>207</v>
      </c>
      <c r="G20" s="59"/>
      <c r="H20" s="59">
        <v>100000</v>
      </c>
      <c r="I20" s="59"/>
      <c r="J20" s="59"/>
      <c r="K20" s="59"/>
      <c r="L20" s="59"/>
      <c r="M20" s="57"/>
      <c r="N20" s="57"/>
      <c r="O20" s="59"/>
      <c r="P20" s="59"/>
      <c r="Q20" s="59"/>
    </row>
    <row r="21" spans="1:17" ht="33.75" customHeight="1" x14ac:dyDescent="0.3">
      <c r="A21" s="29">
        <v>45113</v>
      </c>
      <c r="B21" s="30" t="s">
        <v>185</v>
      </c>
      <c r="C21" s="31" t="s">
        <v>26</v>
      </c>
      <c r="D21" s="30">
        <v>2415</v>
      </c>
      <c r="E21" s="48" t="s">
        <v>208</v>
      </c>
      <c r="F21" s="49" t="s">
        <v>209</v>
      </c>
      <c r="G21" s="59"/>
      <c r="H21" s="59">
        <v>23000</v>
      </c>
      <c r="I21" s="59"/>
      <c r="J21" s="59"/>
      <c r="K21" s="59"/>
      <c r="L21" s="59"/>
      <c r="M21" s="57"/>
      <c r="N21" s="57"/>
      <c r="O21" s="59"/>
      <c r="P21" s="59"/>
      <c r="Q21" s="59"/>
    </row>
    <row r="22" spans="1:17" ht="33.75" customHeight="1" x14ac:dyDescent="0.3">
      <c r="A22" s="29">
        <v>45113</v>
      </c>
      <c r="B22" s="30" t="s">
        <v>182</v>
      </c>
      <c r="C22" s="31" t="s">
        <v>98</v>
      </c>
      <c r="D22" s="30"/>
      <c r="E22" s="48" t="s">
        <v>213</v>
      </c>
      <c r="F22" s="49" t="s">
        <v>184</v>
      </c>
      <c r="G22" s="59"/>
      <c r="H22" s="59">
        <v>12750664.699999999</v>
      </c>
      <c r="I22" s="59"/>
      <c r="J22" s="59"/>
      <c r="K22" s="59">
        <v>12750664.699999999</v>
      </c>
      <c r="L22" s="59"/>
      <c r="M22" s="57"/>
      <c r="N22" s="34"/>
      <c r="O22" s="33"/>
      <c r="P22" s="33"/>
      <c r="Q22" s="33"/>
    </row>
    <row r="23" spans="1:17" ht="33.75" customHeight="1" x14ac:dyDescent="0.3">
      <c r="A23" s="29">
        <v>45113</v>
      </c>
      <c r="B23" s="30" t="s">
        <v>185</v>
      </c>
      <c r="C23" s="31" t="s">
        <v>51</v>
      </c>
      <c r="D23" s="30"/>
      <c r="E23" s="48" t="s">
        <v>227</v>
      </c>
      <c r="F23" s="49" t="s">
        <v>228</v>
      </c>
      <c r="G23" s="33"/>
      <c r="H23" s="33">
        <v>3000</v>
      </c>
      <c r="I23" s="33"/>
      <c r="J23" s="33"/>
      <c r="K23" s="33"/>
      <c r="L23" s="33"/>
      <c r="M23" s="34"/>
      <c r="N23" s="34"/>
      <c r="O23" s="33"/>
      <c r="P23" s="33"/>
      <c r="Q23" s="33"/>
    </row>
    <row r="24" spans="1:17" ht="33.75" customHeight="1" x14ac:dyDescent="0.3">
      <c r="A24" s="29">
        <v>45113</v>
      </c>
      <c r="B24" s="30" t="s">
        <v>203</v>
      </c>
      <c r="C24" s="31" t="s">
        <v>21</v>
      </c>
      <c r="D24" s="30"/>
      <c r="E24" s="48" t="s">
        <v>237</v>
      </c>
      <c r="F24" s="49" t="s">
        <v>238</v>
      </c>
      <c r="G24" s="59"/>
      <c r="H24" s="59"/>
      <c r="I24" s="59">
        <v>860157.69</v>
      </c>
      <c r="J24" s="59"/>
      <c r="K24" s="59"/>
      <c r="L24" s="59"/>
      <c r="M24" s="57"/>
      <c r="N24" s="57"/>
      <c r="O24" s="59"/>
      <c r="P24" s="59"/>
      <c r="Q24" s="59"/>
    </row>
    <row r="25" spans="1:17" ht="33.75" customHeight="1" x14ac:dyDescent="0.3">
      <c r="A25" s="29">
        <v>45114</v>
      </c>
      <c r="B25" s="30" t="s">
        <v>164</v>
      </c>
      <c r="C25" s="31" t="s">
        <v>91</v>
      </c>
      <c r="D25" s="30" t="s">
        <v>175</v>
      </c>
      <c r="E25" s="48" t="s">
        <v>176</v>
      </c>
      <c r="F25" s="49" t="s">
        <v>129</v>
      </c>
      <c r="G25" s="33"/>
      <c r="H25" s="33"/>
      <c r="I25" s="33"/>
      <c r="J25" s="33"/>
      <c r="K25" s="33"/>
      <c r="L25" s="33"/>
      <c r="M25" s="33">
        <v>367700</v>
      </c>
      <c r="N25" s="34"/>
      <c r="O25" s="33"/>
      <c r="P25" s="33"/>
      <c r="Q25" s="33"/>
    </row>
    <row r="26" spans="1:17" ht="33.75" customHeight="1" x14ac:dyDescent="0.3">
      <c r="A26" s="29">
        <v>45114</v>
      </c>
      <c r="B26" s="30" t="s">
        <v>164</v>
      </c>
      <c r="C26" s="31" t="s">
        <v>91</v>
      </c>
      <c r="D26" s="30" t="s">
        <v>177</v>
      </c>
      <c r="E26" s="48" t="s">
        <v>178</v>
      </c>
      <c r="F26" s="49" t="s">
        <v>129</v>
      </c>
      <c r="G26" s="59"/>
      <c r="H26" s="59"/>
      <c r="I26" s="59"/>
      <c r="J26" s="59"/>
      <c r="K26" s="59"/>
      <c r="L26" s="59"/>
      <c r="M26" s="57">
        <v>517200</v>
      </c>
      <c r="N26" s="57"/>
      <c r="O26" s="59"/>
      <c r="P26" s="59"/>
      <c r="Q26" s="59"/>
    </row>
    <row r="27" spans="1:17" ht="33.75" customHeight="1" x14ac:dyDescent="0.3">
      <c r="A27" s="29">
        <v>45114</v>
      </c>
      <c r="B27" s="30" t="s">
        <v>185</v>
      </c>
      <c r="C27" s="31" t="s">
        <v>29</v>
      </c>
      <c r="D27" s="30">
        <v>10257</v>
      </c>
      <c r="E27" s="48" t="s">
        <v>195</v>
      </c>
      <c r="F27" s="49" t="s">
        <v>196</v>
      </c>
      <c r="G27" s="59">
        <v>16000</v>
      </c>
      <c r="H27" s="59"/>
      <c r="I27" s="59"/>
      <c r="J27" s="59"/>
      <c r="K27" s="59"/>
      <c r="L27" s="59"/>
      <c r="M27" s="57"/>
      <c r="N27" s="57"/>
      <c r="O27" s="59"/>
      <c r="P27" s="59"/>
      <c r="Q27" s="59"/>
    </row>
    <row r="28" spans="1:17" ht="33.75" customHeight="1" x14ac:dyDescent="0.3">
      <c r="A28" s="29">
        <v>45114</v>
      </c>
      <c r="B28" s="30" t="s">
        <v>185</v>
      </c>
      <c r="C28" s="31" t="s">
        <v>21</v>
      </c>
      <c r="D28" s="30">
        <v>10258</v>
      </c>
      <c r="E28" s="48" t="s">
        <v>197</v>
      </c>
      <c r="F28" s="49" t="s">
        <v>196</v>
      </c>
      <c r="G28" s="33">
        <v>144000</v>
      </c>
      <c r="H28" s="33"/>
      <c r="I28" s="33"/>
      <c r="J28" s="33"/>
      <c r="K28" s="33"/>
      <c r="L28" s="33"/>
      <c r="M28" s="34"/>
      <c r="N28" s="34"/>
      <c r="O28" s="33"/>
      <c r="P28" s="33"/>
      <c r="Q28" s="33"/>
    </row>
    <row r="29" spans="1:17" ht="33.75" customHeight="1" x14ac:dyDescent="0.3">
      <c r="A29" s="29">
        <v>45114</v>
      </c>
      <c r="B29" s="30" t="s">
        <v>198</v>
      </c>
      <c r="C29" s="31" t="s">
        <v>21</v>
      </c>
      <c r="D29" s="30">
        <v>10256</v>
      </c>
      <c r="E29" s="48" t="s">
        <v>199</v>
      </c>
      <c r="F29" s="49" t="s">
        <v>200</v>
      </c>
      <c r="G29" s="33">
        <v>638856</v>
      </c>
      <c r="H29" s="33"/>
      <c r="I29" s="33"/>
      <c r="J29" s="33"/>
      <c r="K29" s="33"/>
      <c r="L29" s="33"/>
      <c r="M29" s="34"/>
      <c r="N29" s="34"/>
      <c r="O29" s="33"/>
      <c r="P29" s="33"/>
      <c r="Q29" s="33"/>
    </row>
    <row r="30" spans="1:17" ht="33.75" customHeight="1" x14ac:dyDescent="0.3">
      <c r="A30" s="29">
        <v>45114</v>
      </c>
      <c r="B30" s="30" t="s">
        <v>185</v>
      </c>
      <c r="C30" s="31" t="s">
        <v>21</v>
      </c>
      <c r="D30" s="30">
        <v>10255</v>
      </c>
      <c r="E30" s="48" t="s">
        <v>201</v>
      </c>
      <c r="F30" s="49" t="s">
        <v>202</v>
      </c>
      <c r="G30" s="59">
        <v>648000</v>
      </c>
      <c r="H30" s="59"/>
      <c r="I30" s="59"/>
      <c r="J30" s="59"/>
      <c r="K30" s="59"/>
      <c r="L30" s="59"/>
      <c r="M30" s="57"/>
      <c r="N30" s="57"/>
      <c r="O30" s="59"/>
      <c r="P30" s="59"/>
      <c r="Q30" s="59"/>
    </row>
    <row r="31" spans="1:17" ht="33.75" customHeight="1" x14ac:dyDescent="0.3">
      <c r="A31" s="29">
        <v>45114</v>
      </c>
      <c r="B31" s="30" t="s">
        <v>164</v>
      </c>
      <c r="C31" s="31" t="s">
        <v>91</v>
      </c>
      <c r="D31" s="58" t="s">
        <v>210</v>
      </c>
      <c r="E31" s="48" t="s">
        <v>211</v>
      </c>
      <c r="F31" s="49" t="s">
        <v>212</v>
      </c>
      <c r="G31" s="33"/>
      <c r="H31" s="33"/>
      <c r="I31" s="33"/>
      <c r="J31" s="33"/>
      <c r="K31" s="33"/>
      <c r="L31" s="33"/>
      <c r="M31" s="34">
        <v>2088720</v>
      </c>
      <c r="N31" s="34"/>
      <c r="O31" s="33"/>
      <c r="P31" s="33"/>
      <c r="Q31" s="33"/>
    </row>
    <row r="32" spans="1:17" ht="33.75" customHeight="1" x14ac:dyDescent="0.3">
      <c r="A32" s="35">
        <v>45114</v>
      </c>
      <c r="B32" s="36" t="s">
        <v>203</v>
      </c>
      <c r="C32" s="42" t="s">
        <v>28</v>
      </c>
      <c r="D32" s="36"/>
      <c r="E32" s="38" t="s">
        <v>235</v>
      </c>
      <c r="F32" s="39" t="s">
        <v>236</v>
      </c>
      <c r="G32" s="40"/>
      <c r="H32" s="40"/>
      <c r="I32" s="40"/>
      <c r="J32" s="40">
        <v>2083168</v>
      </c>
      <c r="K32" s="40"/>
      <c r="L32" s="40"/>
      <c r="M32" s="40"/>
      <c r="N32" s="41"/>
      <c r="O32" s="40"/>
      <c r="P32" s="40"/>
      <c r="Q32" s="40"/>
    </row>
    <row r="33" spans="1:17" ht="33.75" customHeight="1" x14ac:dyDescent="0.3">
      <c r="A33" s="29">
        <v>45115</v>
      </c>
      <c r="B33" s="30" t="s">
        <v>182</v>
      </c>
      <c r="C33" s="31" t="s">
        <v>98</v>
      </c>
      <c r="D33" s="30"/>
      <c r="E33" s="48" t="s">
        <v>192</v>
      </c>
      <c r="F33" s="49" t="s">
        <v>184</v>
      </c>
      <c r="G33" s="59"/>
      <c r="H33" s="59">
        <v>134057</v>
      </c>
      <c r="I33" s="59"/>
      <c r="J33" s="59"/>
      <c r="K33" s="59">
        <v>134057</v>
      </c>
      <c r="L33" s="59"/>
      <c r="M33" s="57"/>
      <c r="N33" s="57"/>
      <c r="O33" s="59"/>
      <c r="P33" s="59"/>
      <c r="Q33" s="59"/>
    </row>
    <row r="34" spans="1:17" ht="33.75" customHeight="1" x14ac:dyDescent="0.3">
      <c r="A34" s="29">
        <v>45117</v>
      </c>
      <c r="B34" s="30" t="s">
        <v>179</v>
      </c>
      <c r="C34" s="31" t="s">
        <v>81</v>
      </c>
      <c r="D34" s="30"/>
      <c r="E34" s="48" t="s">
        <v>180</v>
      </c>
      <c r="F34" s="49" t="s">
        <v>181</v>
      </c>
      <c r="G34" s="33"/>
      <c r="H34" s="33">
        <v>280000</v>
      </c>
      <c r="I34" s="33"/>
      <c r="J34" s="33"/>
      <c r="K34" s="33"/>
      <c r="L34" s="33"/>
      <c r="M34" s="33"/>
      <c r="N34" s="34"/>
      <c r="O34" s="33"/>
      <c r="P34" s="33"/>
      <c r="Q34" s="33"/>
    </row>
    <row r="35" spans="1:17" ht="33.75" customHeight="1" x14ac:dyDescent="0.3">
      <c r="A35" s="29">
        <v>45117</v>
      </c>
      <c r="B35" s="30" t="s">
        <v>182</v>
      </c>
      <c r="C35" s="31" t="s">
        <v>98</v>
      </c>
      <c r="D35" s="30"/>
      <c r="E35" s="48" t="s">
        <v>183</v>
      </c>
      <c r="F35" s="49" t="s">
        <v>184</v>
      </c>
      <c r="G35" s="33"/>
      <c r="H35" s="33">
        <v>638856</v>
      </c>
      <c r="I35" s="33"/>
      <c r="J35" s="33"/>
      <c r="K35" s="33">
        <v>638856</v>
      </c>
      <c r="L35" s="33"/>
      <c r="M35" s="34"/>
      <c r="N35" s="34"/>
      <c r="O35" s="33"/>
      <c r="P35" s="33"/>
      <c r="Q35" s="33"/>
    </row>
    <row r="36" spans="1:17" ht="33.75" customHeight="1" x14ac:dyDescent="0.3">
      <c r="A36" s="29">
        <v>45117</v>
      </c>
      <c r="B36" s="30" t="s">
        <v>185</v>
      </c>
      <c r="C36" s="31" t="s">
        <v>57</v>
      </c>
      <c r="D36" s="30" t="s">
        <v>186</v>
      </c>
      <c r="E36" s="48" t="s">
        <v>187</v>
      </c>
      <c r="F36" s="49" t="s">
        <v>130</v>
      </c>
      <c r="G36" s="33"/>
      <c r="H36" s="33">
        <v>132500</v>
      </c>
      <c r="I36" s="33"/>
      <c r="J36" s="33"/>
      <c r="K36" s="33"/>
      <c r="L36" s="33"/>
      <c r="M36" s="34"/>
      <c r="N36" s="34"/>
      <c r="O36" s="33"/>
      <c r="P36" s="33"/>
      <c r="Q36" s="33"/>
    </row>
    <row r="37" spans="1:17" ht="33.75" customHeight="1" x14ac:dyDescent="0.3">
      <c r="A37" s="29"/>
      <c r="B37" s="30"/>
      <c r="C37" s="31"/>
      <c r="D37" s="30"/>
      <c r="E37" s="48"/>
      <c r="F37" s="49"/>
      <c r="G37" s="33"/>
      <c r="H37" s="33"/>
      <c r="I37" s="33"/>
      <c r="J37" s="33"/>
      <c r="K37" s="33"/>
      <c r="L37" s="33"/>
      <c r="M37" s="34"/>
      <c r="N37" s="34"/>
      <c r="O37" s="33"/>
      <c r="P37" s="33"/>
      <c r="Q37" s="33"/>
    </row>
    <row r="38" spans="1:17" ht="33.75" customHeight="1" x14ac:dyDescent="0.3">
      <c r="A38" s="29"/>
      <c r="B38" s="30"/>
      <c r="C38" s="61"/>
      <c r="D38" s="30"/>
      <c r="E38" s="48"/>
      <c r="F38" s="49"/>
      <c r="G38" s="59"/>
      <c r="H38" s="59"/>
      <c r="I38" s="59"/>
      <c r="J38" s="59"/>
      <c r="K38" s="59"/>
      <c r="L38" s="59"/>
      <c r="M38" s="57"/>
      <c r="N38" s="57"/>
      <c r="O38" s="59"/>
      <c r="P38" s="59"/>
      <c r="Q38" s="59"/>
    </row>
    <row r="39" spans="1:17" ht="33.75" customHeight="1" x14ac:dyDescent="0.3">
      <c r="A39" s="29"/>
      <c r="B39" s="30"/>
      <c r="C39" s="31"/>
      <c r="D39" s="30"/>
      <c r="E39" s="48"/>
      <c r="F39" s="49"/>
      <c r="G39" s="33"/>
      <c r="H39" s="33"/>
      <c r="I39" s="33"/>
      <c r="J39" s="33"/>
      <c r="K39" s="33"/>
      <c r="L39" s="33"/>
      <c r="M39" s="33"/>
      <c r="N39" s="34"/>
      <c r="O39" s="33"/>
      <c r="P39" s="33"/>
      <c r="Q39" s="33"/>
    </row>
    <row r="40" spans="1:17" ht="33.75" customHeight="1" x14ac:dyDescent="0.3">
      <c r="A40" s="29"/>
      <c r="B40" s="30"/>
      <c r="C40" s="31"/>
      <c r="D40" s="30"/>
      <c r="E40" s="48"/>
      <c r="F40" s="49"/>
      <c r="G40" s="59"/>
      <c r="H40" s="59"/>
      <c r="I40" s="59"/>
      <c r="J40" s="59"/>
      <c r="K40" s="59"/>
      <c r="L40" s="59"/>
      <c r="M40" s="57"/>
      <c r="N40" s="57"/>
      <c r="O40" s="59"/>
      <c r="P40" s="59"/>
      <c r="Q40" s="59"/>
    </row>
    <row r="41" spans="1:17" ht="33.75" customHeight="1" x14ac:dyDescent="0.3">
      <c r="A41" s="29"/>
      <c r="B41" s="30"/>
      <c r="C41" s="31"/>
      <c r="D41" s="30"/>
      <c r="E41" s="48"/>
      <c r="F41" s="49"/>
      <c r="G41" s="59"/>
      <c r="H41" s="59"/>
      <c r="I41" s="59"/>
      <c r="J41" s="59"/>
      <c r="K41" s="59"/>
      <c r="L41" s="59"/>
      <c r="M41" s="57"/>
      <c r="N41" s="57"/>
      <c r="O41" s="59"/>
      <c r="P41" s="59"/>
      <c r="Q41" s="59"/>
    </row>
    <row r="42" spans="1:17" ht="33.75" customHeight="1" x14ac:dyDescent="0.3">
      <c r="A42" s="29"/>
      <c r="B42" s="30"/>
      <c r="C42" s="31"/>
      <c r="D42" s="60"/>
      <c r="E42" s="48"/>
      <c r="F42" s="49"/>
      <c r="G42" s="59"/>
      <c r="H42" s="59"/>
      <c r="I42" s="59"/>
      <c r="J42" s="59"/>
      <c r="K42" s="59"/>
      <c r="L42" s="59"/>
      <c r="M42" s="57"/>
      <c r="N42" s="57"/>
      <c r="O42" s="59"/>
      <c r="P42" s="59"/>
      <c r="Q42" s="59"/>
    </row>
    <row r="43" spans="1:17" ht="33.75" customHeight="1" x14ac:dyDescent="0.3">
      <c r="A43" s="29"/>
      <c r="B43" s="30"/>
      <c r="C43" s="31"/>
      <c r="D43" s="30"/>
      <c r="E43" s="48"/>
      <c r="F43" s="49"/>
      <c r="G43" s="59"/>
      <c r="H43" s="59"/>
      <c r="I43" s="59"/>
      <c r="J43" s="59"/>
      <c r="K43" s="59"/>
      <c r="L43" s="59"/>
      <c r="M43" s="57"/>
      <c r="N43" s="57"/>
      <c r="O43" s="59"/>
      <c r="P43" s="59"/>
      <c r="Q43" s="59"/>
    </row>
    <row r="44" spans="1:17" ht="33.75" customHeight="1" x14ac:dyDescent="0.3">
      <c r="A44" s="29"/>
      <c r="B44" s="30"/>
      <c r="C44" s="31"/>
      <c r="D44" s="30"/>
      <c r="E44" s="48"/>
      <c r="F44" s="49"/>
      <c r="G44" s="33"/>
      <c r="H44" s="33"/>
      <c r="I44" s="33"/>
      <c r="J44" s="33"/>
      <c r="K44" s="33"/>
      <c r="L44" s="33"/>
      <c r="M44" s="34"/>
      <c r="N44" s="34"/>
      <c r="O44" s="33"/>
      <c r="P44" s="33"/>
      <c r="Q44" s="33"/>
    </row>
    <row r="45" spans="1:17" ht="33.75" customHeight="1" x14ac:dyDescent="0.3">
      <c r="A45" s="29"/>
      <c r="B45" s="30"/>
      <c r="C45" s="31"/>
      <c r="D45" s="30"/>
      <c r="E45" s="48"/>
      <c r="F45" s="49"/>
      <c r="G45" s="33"/>
      <c r="H45" s="33"/>
      <c r="I45" s="33"/>
      <c r="J45" s="33"/>
      <c r="K45" s="33"/>
      <c r="L45" s="33"/>
      <c r="M45" s="34"/>
      <c r="N45" s="34"/>
      <c r="O45" s="33"/>
      <c r="P45" s="33"/>
      <c r="Q45" s="33"/>
    </row>
    <row r="46" spans="1:17" ht="33.75" customHeight="1" x14ac:dyDescent="0.3">
      <c r="A46" s="29"/>
      <c r="B46" s="30"/>
      <c r="C46" s="31"/>
      <c r="D46" s="30"/>
      <c r="E46" s="48"/>
      <c r="F46" s="49"/>
      <c r="G46" s="33"/>
      <c r="H46" s="33"/>
      <c r="I46" s="33"/>
      <c r="J46" s="33"/>
      <c r="K46" s="33"/>
      <c r="L46" s="33"/>
      <c r="M46" s="34"/>
      <c r="N46" s="34"/>
      <c r="O46" s="33"/>
      <c r="P46" s="33"/>
      <c r="Q46" s="33"/>
    </row>
    <row r="47" spans="1:17" ht="33.75" customHeight="1" x14ac:dyDescent="0.3">
      <c r="A47" s="29"/>
      <c r="B47" s="30"/>
      <c r="C47" s="31"/>
      <c r="D47" s="30"/>
      <c r="E47" s="48"/>
      <c r="F47" s="49"/>
      <c r="G47" s="59"/>
      <c r="H47" s="59"/>
      <c r="I47" s="59"/>
      <c r="J47" s="59"/>
      <c r="K47" s="59"/>
      <c r="L47" s="59"/>
      <c r="M47" s="57"/>
      <c r="N47" s="57"/>
      <c r="O47" s="59"/>
      <c r="P47" s="59"/>
      <c r="Q47" s="59"/>
    </row>
    <row r="48" spans="1:17" ht="33.75" customHeight="1" x14ac:dyDescent="0.3">
      <c r="A48" s="29"/>
      <c r="B48" s="30"/>
      <c r="C48" s="31"/>
      <c r="D48" s="30"/>
      <c r="E48" s="48"/>
      <c r="F48" s="49"/>
      <c r="G48" s="59"/>
      <c r="H48" s="59"/>
      <c r="I48" s="59"/>
      <c r="J48" s="59"/>
      <c r="K48" s="59"/>
      <c r="L48" s="59"/>
      <c r="M48" s="57"/>
      <c r="N48" s="57"/>
      <c r="O48" s="59"/>
      <c r="P48" s="59"/>
      <c r="Q48" s="59"/>
    </row>
    <row r="49" spans="1:17" ht="33.75" customHeight="1" x14ac:dyDescent="0.3">
      <c r="A49" s="29"/>
      <c r="B49" s="30"/>
      <c r="C49" s="31"/>
      <c r="D49" s="30"/>
      <c r="E49" s="48"/>
      <c r="F49" s="49"/>
      <c r="G49" s="59"/>
      <c r="H49" s="59"/>
      <c r="I49" s="59"/>
      <c r="J49" s="59"/>
      <c r="K49" s="59"/>
      <c r="L49" s="59"/>
      <c r="M49" s="57"/>
      <c r="N49" s="57"/>
      <c r="O49" s="59"/>
      <c r="P49" s="59"/>
      <c r="Q49" s="59"/>
    </row>
    <row r="50" spans="1:17" ht="33.75" customHeight="1" x14ac:dyDescent="0.3">
      <c r="A50" s="29"/>
      <c r="B50" s="30"/>
      <c r="C50" s="31"/>
      <c r="D50" s="30"/>
      <c r="E50" s="48"/>
      <c r="F50" s="49"/>
      <c r="G50" s="33"/>
      <c r="H50" s="33"/>
      <c r="I50" s="33"/>
      <c r="J50" s="33"/>
      <c r="K50" s="33"/>
      <c r="L50" s="33"/>
      <c r="M50" s="34"/>
      <c r="N50" s="34"/>
      <c r="O50" s="33"/>
      <c r="P50" s="33"/>
      <c r="Q50" s="33"/>
    </row>
    <row r="51" spans="1:17" ht="33.75" customHeight="1" x14ac:dyDescent="0.3">
      <c r="A51" s="29"/>
      <c r="B51" s="30"/>
      <c r="C51" s="47"/>
      <c r="D51" s="30"/>
      <c r="E51" s="48"/>
      <c r="F51" s="49"/>
      <c r="G51" s="59"/>
      <c r="H51" s="59"/>
      <c r="I51" s="59"/>
      <c r="J51" s="59"/>
      <c r="K51" s="59"/>
      <c r="L51" s="59"/>
      <c r="M51" s="57"/>
      <c r="N51" s="57"/>
      <c r="O51" s="59"/>
      <c r="P51" s="59"/>
      <c r="Q51" s="59"/>
    </row>
    <row r="52" spans="1:17" ht="33.75" customHeight="1" x14ac:dyDescent="0.3">
      <c r="A52" s="29"/>
      <c r="B52" s="30"/>
      <c r="C52" s="31"/>
      <c r="D52" s="30"/>
      <c r="E52" s="48"/>
      <c r="F52" s="49"/>
      <c r="G52" s="59"/>
      <c r="H52" s="59"/>
      <c r="I52" s="59"/>
      <c r="J52" s="59"/>
      <c r="K52" s="59"/>
      <c r="L52" s="59"/>
      <c r="M52" s="57"/>
      <c r="N52" s="57"/>
      <c r="O52" s="59"/>
      <c r="P52" s="59"/>
      <c r="Q52" s="59"/>
    </row>
    <row r="53" spans="1:17" ht="33.75" customHeight="1" x14ac:dyDescent="0.3">
      <c r="A53" s="29"/>
      <c r="B53" s="30"/>
      <c r="C53" s="31"/>
      <c r="D53" s="30"/>
      <c r="E53" s="48"/>
      <c r="F53" s="49"/>
      <c r="G53" s="59"/>
      <c r="H53" s="59"/>
      <c r="I53" s="59"/>
      <c r="J53" s="59"/>
      <c r="K53" s="59"/>
      <c r="L53" s="59"/>
      <c r="M53" s="57"/>
      <c r="N53" s="57"/>
      <c r="O53" s="59"/>
      <c r="P53" s="59"/>
      <c r="Q53" s="59"/>
    </row>
    <row r="54" spans="1:17" ht="33.75" customHeight="1" x14ac:dyDescent="0.3">
      <c r="A54" s="29"/>
      <c r="B54" s="30"/>
      <c r="C54" s="31"/>
      <c r="D54" s="30"/>
      <c r="E54" s="48"/>
      <c r="F54" s="49"/>
      <c r="G54" s="33"/>
      <c r="H54" s="33"/>
      <c r="I54" s="33"/>
      <c r="J54" s="33"/>
      <c r="K54" s="33"/>
      <c r="L54" s="33"/>
      <c r="M54" s="34"/>
      <c r="N54" s="34"/>
      <c r="O54" s="33"/>
      <c r="P54" s="33"/>
      <c r="Q54" s="33"/>
    </row>
    <row r="55" spans="1:17" ht="33.75" customHeight="1" x14ac:dyDescent="0.3">
      <c r="A55" s="29"/>
      <c r="B55" s="30"/>
      <c r="C55" s="31"/>
      <c r="D55" s="30"/>
      <c r="E55" s="48"/>
      <c r="F55" s="49"/>
      <c r="G55" s="59"/>
      <c r="H55" s="59"/>
      <c r="I55" s="59"/>
      <c r="J55" s="59"/>
      <c r="K55" s="59"/>
      <c r="L55" s="59"/>
      <c r="M55" s="57"/>
      <c r="N55" s="57"/>
      <c r="O55" s="59"/>
      <c r="P55" s="59"/>
      <c r="Q55" s="59"/>
    </row>
    <row r="56" spans="1:17" ht="33.75" customHeight="1" x14ac:dyDescent="0.3">
      <c r="A56" s="29"/>
      <c r="B56" s="30"/>
      <c r="C56" s="31"/>
      <c r="D56" s="30"/>
      <c r="E56" s="48"/>
      <c r="F56" s="49"/>
      <c r="G56" s="59"/>
      <c r="H56" s="59"/>
      <c r="I56" s="59"/>
      <c r="J56" s="59"/>
      <c r="K56" s="59"/>
      <c r="L56" s="59"/>
      <c r="M56" s="57"/>
      <c r="N56" s="57"/>
      <c r="O56" s="59"/>
      <c r="P56" s="59"/>
      <c r="Q56" s="59"/>
    </row>
    <row r="57" spans="1:17" ht="33.75" customHeight="1" x14ac:dyDescent="0.3">
      <c r="A57" s="35"/>
      <c r="B57" s="36"/>
      <c r="C57" s="42"/>
      <c r="D57" s="36"/>
      <c r="E57" s="38"/>
      <c r="F57" s="39"/>
      <c r="G57" s="40"/>
      <c r="H57" s="40"/>
      <c r="I57" s="33"/>
      <c r="J57" s="33"/>
      <c r="K57" s="33"/>
      <c r="L57" s="33"/>
      <c r="M57" s="34"/>
      <c r="N57" s="34"/>
      <c r="O57" s="33"/>
      <c r="P57" s="33"/>
      <c r="Q57" s="33"/>
    </row>
    <row r="58" spans="1:17" ht="33.75" customHeight="1" x14ac:dyDescent="0.3">
      <c r="A58" s="29"/>
      <c r="B58" s="30"/>
      <c r="C58" s="31"/>
      <c r="D58" s="100"/>
      <c r="E58" s="48"/>
      <c r="F58" s="49"/>
      <c r="G58" s="33"/>
      <c r="H58" s="33"/>
      <c r="I58" s="33"/>
      <c r="J58" s="33"/>
      <c r="K58" s="33"/>
      <c r="L58" s="33"/>
      <c r="M58" s="33"/>
      <c r="N58" s="34"/>
      <c r="O58" s="33"/>
      <c r="P58" s="33"/>
      <c r="Q58" s="33"/>
    </row>
    <row r="59" spans="1:17" ht="33.75" customHeight="1" x14ac:dyDescent="0.3">
      <c r="A59" s="29"/>
      <c r="B59" s="30"/>
      <c r="C59" s="31"/>
      <c r="D59" s="30"/>
      <c r="E59" s="48"/>
      <c r="F59" s="49"/>
      <c r="G59" s="59"/>
      <c r="H59" s="59"/>
      <c r="I59" s="59"/>
      <c r="J59" s="59"/>
      <c r="K59" s="59"/>
      <c r="L59" s="59"/>
      <c r="M59" s="57"/>
      <c r="N59" s="57"/>
      <c r="O59" s="59"/>
      <c r="P59" s="59"/>
      <c r="Q59" s="59"/>
    </row>
    <row r="60" spans="1:17" ht="33.75" customHeight="1" x14ac:dyDescent="0.3">
      <c r="A60" s="29"/>
      <c r="B60" s="30"/>
      <c r="C60" s="31"/>
      <c r="D60" s="30"/>
      <c r="E60" s="48"/>
      <c r="F60" s="49"/>
      <c r="G60" s="59"/>
      <c r="H60" s="59"/>
      <c r="I60" s="59"/>
      <c r="J60" s="59"/>
      <c r="K60" s="59"/>
      <c r="L60" s="59"/>
      <c r="M60" s="57"/>
      <c r="N60" s="57"/>
      <c r="O60" s="59"/>
      <c r="P60" s="59"/>
      <c r="Q60" s="59"/>
    </row>
    <row r="61" spans="1:17" ht="33.75" customHeight="1" x14ac:dyDescent="0.3">
      <c r="A61" s="29"/>
      <c r="B61" s="30"/>
      <c r="C61" s="31"/>
      <c r="D61" s="30"/>
      <c r="E61" s="48"/>
      <c r="F61" s="49"/>
      <c r="G61" s="33"/>
      <c r="H61" s="33"/>
      <c r="I61" s="33"/>
      <c r="J61" s="33"/>
      <c r="K61" s="33"/>
      <c r="L61" s="33"/>
      <c r="M61" s="34"/>
      <c r="N61" s="34"/>
      <c r="O61" s="33"/>
      <c r="P61" s="33"/>
      <c r="Q61" s="33"/>
    </row>
    <row r="62" spans="1:17" ht="33.75" customHeight="1" x14ac:dyDescent="0.3">
      <c r="A62" s="29"/>
      <c r="B62" s="30"/>
      <c r="C62" s="31"/>
      <c r="D62" s="30"/>
      <c r="E62" s="48"/>
      <c r="F62" s="49"/>
      <c r="G62" s="33"/>
      <c r="H62" s="33"/>
      <c r="I62" s="33"/>
      <c r="J62" s="33"/>
      <c r="K62" s="33"/>
      <c r="L62" s="33"/>
      <c r="M62" s="34"/>
      <c r="N62" s="34"/>
      <c r="O62" s="33"/>
      <c r="P62" s="33"/>
      <c r="Q62" s="33"/>
    </row>
    <row r="63" spans="1:17" ht="33.75" customHeight="1" x14ac:dyDescent="0.3">
      <c r="A63" s="29"/>
      <c r="B63" s="30"/>
      <c r="C63" s="31"/>
      <c r="D63" s="30"/>
      <c r="E63" s="48"/>
      <c r="F63" s="49"/>
      <c r="G63" s="59"/>
      <c r="H63" s="59"/>
      <c r="I63" s="59"/>
      <c r="J63" s="59"/>
      <c r="K63" s="59"/>
      <c r="L63" s="59"/>
      <c r="M63" s="57"/>
      <c r="N63" s="57"/>
      <c r="O63" s="59"/>
      <c r="P63" s="59"/>
      <c r="Q63" s="59"/>
    </row>
    <row r="64" spans="1:17" ht="33.75" customHeight="1" x14ac:dyDescent="0.3">
      <c r="A64" s="29"/>
      <c r="B64" s="30"/>
      <c r="C64" s="31"/>
      <c r="D64" s="30"/>
      <c r="E64" s="48"/>
      <c r="F64" s="49"/>
      <c r="G64" s="59"/>
      <c r="H64" s="59"/>
      <c r="I64" s="59"/>
      <c r="J64" s="59"/>
      <c r="K64" s="59"/>
      <c r="L64" s="59"/>
      <c r="M64" s="57"/>
      <c r="N64" s="57"/>
      <c r="O64" s="59"/>
      <c r="P64" s="59"/>
      <c r="Q64" s="59"/>
    </row>
    <row r="65" spans="1:17" ht="33.75" customHeight="1" x14ac:dyDescent="0.3">
      <c r="A65" s="29"/>
      <c r="B65" s="30"/>
      <c r="C65" s="31"/>
      <c r="D65" s="30"/>
      <c r="E65" s="48"/>
      <c r="F65" s="49"/>
      <c r="G65" s="59"/>
      <c r="H65" s="59"/>
      <c r="I65" s="59"/>
      <c r="J65" s="59"/>
      <c r="K65" s="59"/>
      <c r="L65" s="59"/>
      <c r="M65" s="57"/>
      <c r="N65" s="57"/>
      <c r="O65" s="59"/>
      <c r="P65" s="59"/>
      <c r="Q65" s="59"/>
    </row>
    <row r="66" spans="1:17" ht="33.75" customHeight="1" x14ac:dyDescent="0.3">
      <c r="A66" s="29"/>
      <c r="B66" s="30"/>
      <c r="C66" s="31"/>
      <c r="D66" s="30"/>
      <c r="E66" s="48"/>
      <c r="F66" s="49"/>
      <c r="G66" s="33"/>
      <c r="H66" s="33"/>
      <c r="I66" s="33"/>
      <c r="J66" s="33"/>
      <c r="K66" s="33"/>
      <c r="L66" s="33"/>
      <c r="M66" s="34"/>
      <c r="N66" s="34"/>
      <c r="O66" s="33"/>
      <c r="P66" s="33"/>
      <c r="Q66" s="33"/>
    </row>
    <row r="67" spans="1:17" ht="33.75" customHeight="1" x14ac:dyDescent="0.3">
      <c r="A67" s="29"/>
      <c r="B67" s="30"/>
      <c r="C67" s="31"/>
      <c r="D67" s="30"/>
      <c r="E67" s="48"/>
      <c r="F67" s="49"/>
      <c r="G67" s="59"/>
      <c r="H67" s="59"/>
      <c r="I67" s="59"/>
      <c r="J67" s="59"/>
      <c r="K67" s="59"/>
      <c r="L67" s="59"/>
      <c r="M67" s="57"/>
      <c r="N67" s="57"/>
      <c r="O67" s="59"/>
      <c r="P67" s="59"/>
      <c r="Q67" s="59"/>
    </row>
    <row r="68" spans="1:17" ht="33.75" customHeight="1" x14ac:dyDescent="0.3">
      <c r="A68" s="29"/>
      <c r="B68" s="30"/>
      <c r="C68" s="31"/>
      <c r="D68" s="30"/>
      <c r="E68" s="48"/>
      <c r="F68" s="49"/>
      <c r="G68" s="33"/>
      <c r="H68" s="33"/>
      <c r="I68" s="33"/>
      <c r="J68" s="33"/>
      <c r="K68" s="33"/>
      <c r="L68" s="33"/>
      <c r="M68" s="34"/>
      <c r="N68" s="34"/>
      <c r="O68" s="33"/>
      <c r="P68" s="33"/>
      <c r="Q68" s="33"/>
    </row>
    <row r="69" spans="1:17" ht="33.75" customHeight="1" x14ac:dyDescent="0.3">
      <c r="A69" s="29"/>
      <c r="B69" s="30"/>
      <c r="C69" s="31"/>
      <c r="D69" s="30"/>
      <c r="E69" s="48"/>
      <c r="F69" s="49"/>
      <c r="G69" s="33"/>
      <c r="H69" s="33"/>
      <c r="I69" s="33"/>
      <c r="J69" s="33"/>
      <c r="K69" s="33"/>
      <c r="L69" s="33"/>
      <c r="M69" s="34"/>
      <c r="N69" s="34"/>
      <c r="O69" s="33"/>
      <c r="P69" s="33"/>
      <c r="Q69" s="33"/>
    </row>
    <row r="70" spans="1:17" ht="33.75" customHeight="1" x14ac:dyDescent="0.3">
      <c r="A70" s="35"/>
      <c r="B70" s="36"/>
      <c r="C70" s="31"/>
      <c r="D70" s="36"/>
      <c r="E70" s="48"/>
      <c r="F70" s="49"/>
      <c r="G70" s="59"/>
      <c r="H70" s="59"/>
      <c r="I70" s="33"/>
      <c r="J70" s="33"/>
      <c r="K70" s="33"/>
      <c r="L70" s="33"/>
      <c r="M70" s="33"/>
      <c r="N70" s="34"/>
      <c r="O70" s="33"/>
      <c r="P70" s="33"/>
      <c r="Q70" s="33"/>
    </row>
    <row r="71" spans="1:17" ht="33.75" customHeight="1" x14ac:dyDescent="0.3">
      <c r="A71" s="29"/>
      <c r="B71" s="30"/>
      <c r="C71" s="31"/>
      <c r="D71" s="30"/>
      <c r="E71" s="48"/>
      <c r="F71" s="49"/>
      <c r="G71" s="33"/>
      <c r="H71" s="33"/>
      <c r="I71" s="33"/>
      <c r="J71" s="33"/>
      <c r="K71" s="33"/>
      <c r="L71" s="33"/>
      <c r="M71" s="34"/>
      <c r="N71" s="34"/>
      <c r="O71" s="33"/>
      <c r="P71" s="33"/>
      <c r="Q71" s="33"/>
    </row>
    <row r="72" spans="1:17" ht="33.75" customHeight="1" x14ac:dyDescent="0.3">
      <c r="A72" s="35"/>
      <c r="B72" s="36"/>
      <c r="C72" s="42"/>
      <c r="D72" s="36"/>
      <c r="E72" s="38"/>
      <c r="F72" s="39"/>
      <c r="G72" s="40"/>
      <c r="H72" s="40"/>
      <c r="I72" s="40"/>
      <c r="J72" s="40"/>
      <c r="K72" s="40"/>
      <c r="L72" s="40"/>
      <c r="M72" s="40"/>
      <c r="N72" s="41"/>
      <c r="O72" s="40"/>
      <c r="P72" s="40"/>
      <c r="Q72" s="40"/>
    </row>
    <row r="73" spans="1:17" ht="33.75" customHeight="1" x14ac:dyDescent="0.3">
      <c r="A73" s="29"/>
      <c r="B73" s="30"/>
      <c r="C73" s="31"/>
      <c r="D73" s="30"/>
      <c r="E73" s="48"/>
      <c r="F73" s="49"/>
      <c r="G73" s="33"/>
      <c r="H73" s="33"/>
      <c r="I73" s="33"/>
      <c r="J73" s="33"/>
      <c r="K73" s="33"/>
      <c r="L73" s="33"/>
      <c r="M73" s="34"/>
      <c r="N73" s="34"/>
      <c r="O73" s="33"/>
      <c r="P73" s="33"/>
      <c r="Q73" s="33"/>
    </row>
    <row r="74" spans="1:17" ht="33.75" customHeight="1" x14ac:dyDescent="0.3">
      <c r="A74" s="29"/>
      <c r="B74" s="30"/>
      <c r="C74" s="31"/>
      <c r="D74" s="30"/>
      <c r="E74" s="48"/>
      <c r="F74" s="49"/>
      <c r="G74" s="33"/>
      <c r="H74" s="33"/>
      <c r="I74" s="33"/>
      <c r="J74" s="33"/>
      <c r="K74" s="33"/>
      <c r="L74" s="33"/>
      <c r="M74" s="34"/>
      <c r="N74" s="34"/>
      <c r="O74" s="33"/>
      <c r="P74" s="33"/>
      <c r="Q74" s="33"/>
    </row>
    <row r="75" spans="1:17" ht="33.75" customHeight="1" x14ac:dyDescent="0.3">
      <c r="A75" s="35"/>
      <c r="B75" s="36"/>
      <c r="C75" s="42"/>
      <c r="D75" s="36"/>
      <c r="E75" s="38"/>
      <c r="F75" s="39"/>
      <c r="G75" s="40"/>
      <c r="H75" s="40"/>
      <c r="I75" s="40"/>
      <c r="J75" s="40"/>
      <c r="K75" s="40"/>
      <c r="L75" s="40"/>
      <c r="M75" s="40"/>
      <c r="N75" s="41"/>
      <c r="O75" s="40"/>
      <c r="P75" s="40"/>
      <c r="Q75" s="40"/>
    </row>
    <row r="76" spans="1:17" ht="33.75" customHeight="1" x14ac:dyDescent="0.3">
      <c r="A76" s="29"/>
      <c r="B76" s="30"/>
      <c r="C76" s="31"/>
      <c r="D76" s="30"/>
      <c r="E76" s="48"/>
      <c r="F76" s="49"/>
      <c r="G76" s="33"/>
      <c r="H76" s="33"/>
      <c r="I76" s="33"/>
      <c r="J76" s="33"/>
      <c r="K76" s="33"/>
      <c r="L76" s="33"/>
      <c r="M76" s="34"/>
      <c r="N76" s="34"/>
      <c r="O76" s="33"/>
      <c r="P76" s="33"/>
      <c r="Q76" s="33"/>
    </row>
    <row r="77" spans="1:17" ht="33.75" customHeight="1" x14ac:dyDescent="0.3">
      <c r="A77" s="29"/>
      <c r="B77" s="30"/>
      <c r="C77" s="31"/>
      <c r="D77" s="30"/>
      <c r="E77" s="48"/>
      <c r="F77" s="49"/>
      <c r="G77" s="59"/>
      <c r="H77" s="59"/>
      <c r="I77" s="59"/>
      <c r="J77" s="59"/>
      <c r="K77" s="59"/>
      <c r="L77" s="59"/>
      <c r="M77" s="57"/>
      <c r="N77" s="34"/>
      <c r="O77" s="33"/>
      <c r="P77" s="33"/>
      <c r="Q77" s="33"/>
    </row>
    <row r="78" spans="1:17" ht="33.75" customHeight="1" x14ac:dyDescent="0.3">
      <c r="A78" s="29"/>
      <c r="B78" s="30"/>
      <c r="C78" s="31"/>
      <c r="D78" s="30"/>
      <c r="E78" s="48"/>
      <c r="F78" s="49"/>
      <c r="G78" s="33"/>
      <c r="H78" s="33"/>
      <c r="I78" s="33"/>
      <c r="J78" s="33"/>
      <c r="K78" s="33"/>
      <c r="L78" s="33"/>
      <c r="M78" s="34"/>
      <c r="N78" s="34"/>
      <c r="O78" s="33"/>
      <c r="P78" s="33"/>
      <c r="Q78" s="33"/>
    </row>
    <row r="79" spans="1:17" ht="33.75" customHeight="1" x14ac:dyDescent="0.3">
      <c r="A79" s="29"/>
      <c r="B79" s="30"/>
      <c r="C79" s="31"/>
      <c r="D79" s="30"/>
      <c r="E79" s="48"/>
      <c r="F79" s="49"/>
      <c r="G79" s="33"/>
      <c r="H79" s="33"/>
      <c r="I79" s="33"/>
      <c r="J79" s="33"/>
      <c r="K79" s="33"/>
      <c r="L79" s="33"/>
      <c r="M79" s="34"/>
      <c r="N79" s="34"/>
      <c r="O79" s="33"/>
      <c r="P79" s="33"/>
      <c r="Q79" s="33"/>
    </row>
    <row r="80" spans="1:17" ht="33.75" customHeight="1" x14ac:dyDescent="0.3">
      <c r="A80" s="29"/>
      <c r="B80" s="30"/>
      <c r="C80" s="31"/>
      <c r="D80" s="30"/>
      <c r="E80" s="48"/>
      <c r="F80" s="49"/>
      <c r="G80" s="59"/>
      <c r="H80" s="59"/>
      <c r="I80" s="59"/>
      <c r="J80" s="59"/>
      <c r="K80" s="59"/>
      <c r="L80" s="59"/>
      <c r="M80" s="57"/>
      <c r="N80" s="57"/>
      <c r="O80" s="59"/>
      <c r="P80" s="59"/>
      <c r="Q80" s="59"/>
    </row>
    <row r="81" spans="1:17" ht="33.75" customHeight="1" x14ac:dyDescent="0.3">
      <c r="A81" s="29"/>
      <c r="B81" s="30"/>
      <c r="C81" s="31"/>
      <c r="D81" s="30"/>
      <c r="E81" s="48"/>
      <c r="F81" s="49"/>
      <c r="G81" s="59"/>
      <c r="H81" s="59"/>
      <c r="I81" s="59"/>
      <c r="J81" s="59"/>
      <c r="K81" s="59"/>
      <c r="L81" s="59"/>
      <c r="M81" s="57"/>
      <c r="N81" s="57"/>
      <c r="O81" s="59"/>
      <c r="P81" s="59"/>
      <c r="Q81" s="59"/>
    </row>
    <row r="82" spans="1:17" ht="33.75" customHeight="1" x14ac:dyDescent="0.3">
      <c r="A82" s="29"/>
      <c r="B82" s="30"/>
      <c r="C82" s="47"/>
      <c r="D82" s="30"/>
      <c r="E82" s="48"/>
      <c r="F82" s="49"/>
      <c r="G82" s="59"/>
      <c r="H82" s="59"/>
      <c r="I82" s="59"/>
      <c r="J82" s="59"/>
      <c r="K82" s="59"/>
      <c r="L82" s="59"/>
      <c r="M82" s="57"/>
      <c r="N82" s="57"/>
      <c r="O82" s="59"/>
      <c r="P82" s="59"/>
      <c r="Q82" s="59"/>
    </row>
    <row r="83" spans="1:17" ht="33.75" customHeight="1" x14ac:dyDescent="0.3">
      <c r="A83" s="29"/>
      <c r="B83" s="30"/>
      <c r="C83" s="31"/>
      <c r="D83" s="30"/>
      <c r="E83" s="48"/>
      <c r="F83" s="49"/>
      <c r="G83" s="59"/>
      <c r="H83" s="59"/>
      <c r="I83" s="59"/>
      <c r="J83" s="59"/>
      <c r="K83" s="59"/>
      <c r="L83" s="59"/>
      <c r="M83" s="57"/>
      <c r="N83" s="57"/>
      <c r="O83" s="59"/>
      <c r="P83" s="59"/>
      <c r="Q83" s="59"/>
    </row>
    <row r="84" spans="1:17" ht="33.75" customHeight="1" x14ac:dyDescent="0.3">
      <c r="A84" s="29"/>
      <c r="B84" s="30"/>
      <c r="C84" s="47"/>
      <c r="D84" s="30"/>
      <c r="E84" s="48"/>
      <c r="F84" s="49"/>
      <c r="G84" s="59"/>
      <c r="H84" s="59"/>
      <c r="I84" s="59"/>
      <c r="J84" s="59"/>
      <c r="K84" s="59"/>
      <c r="L84" s="59"/>
      <c r="M84" s="57"/>
      <c r="N84" s="57"/>
      <c r="O84" s="59"/>
      <c r="P84" s="59"/>
      <c r="Q84" s="59"/>
    </row>
    <row r="85" spans="1:17" ht="33.75" customHeight="1" x14ac:dyDescent="0.3">
      <c r="A85" s="29"/>
      <c r="B85" s="30"/>
      <c r="C85" s="31"/>
      <c r="D85" s="30"/>
      <c r="E85" s="48"/>
      <c r="F85" s="49"/>
      <c r="G85" s="33"/>
      <c r="H85" s="33"/>
      <c r="I85" s="33"/>
      <c r="J85" s="33"/>
      <c r="K85" s="33"/>
      <c r="L85" s="33"/>
      <c r="M85" s="34"/>
      <c r="N85" s="34"/>
      <c r="O85" s="33"/>
      <c r="P85" s="33"/>
      <c r="Q85" s="33"/>
    </row>
    <row r="86" spans="1:17" ht="33.75" customHeight="1" x14ac:dyDescent="0.3">
      <c r="A86" s="29"/>
      <c r="B86" s="30"/>
      <c r="C86" s="31"/>
      <c r="D86" s="30"/>
      <c r="E86" s="48"/>
      <c r="F86" s="49"/>
      <c r="G86" s="59"/>
      <c r="H86" s="59"/>
      <c r="I86" s="59"/>
      <c r="J86" s="59"/>
      <c r="K86" s="59"/>
      <c r="L86" s="59"/>
      <c r="M86" s="57"/>
      <c r="N86" s="57"/>
      <c r="O86" s="59"/>
      <c r="P86" s="59"/>
      <c r="Q86" s="59"/>
    </row>
    <row r="87" spans="1:17" ht="33.75" customHeight="1" x14ac:dyDescent="0.3">
      <c r="A87" s="29"/>
      <c r="B87" s="30"/>
      <c r="C87" s="31"/>
      <c r="D87" s="30"/>
      <c r="E87" s="48"/>
      <c r="F87" s="49"/>
      <c r="G87" s="59"/>
      <c r="H87" s="59"/>
      <c r="I87" s="59"/>
      <c r="J87" s="59"/>
      <c r="K87" s="59"/>
      <c r="L87" s="59"/>
      <c r="M87" s="57"/>
      <c r="N87" s="57"/>
      <c r="O87" s="59"/>
      <c r="P87" s="59"/>
      <c r="Q87" s="59"/>
    </row>
    <row r="88" spans="1:17" ht="33.75" customHeight="1" x14ac:dyDescent="0.3">
      <c r="A88" s="29"/>
      <c r="B88" s="30"/>
      <c r="C88" s="31"/>
      <c r="D88" s="30"/>
      <c r="E88" s="48"/>
      <c r="F88" s="49"/>
      <c r="G88" s="59"/>
      <c r="H88" s="59"/>
      <c r="I88" s="59"/>
      <c r="J88" s="59"/>
      <c r="K88" s="59"/>
      <c r="L88" s="59"/>
      <c r="M88" s="57"/>
      <c r="N88" s="57"/>
      <c r="O88" s="59"/>
      <c r="P88" s="59"/>
      <c r="Q88" s="59"/>
    </row>
    <row r="89" spans="1:17" ht="33.75" customHeight="1" x14ac:dyDescent="0.3">
      <c r="A89" s="29"/>
      <c r="B89" s="30"/>
      <c r="C89" s="31"/>
      <c r="D89" s="30"/>
      <c r="E89" s="48"/>
      <c r="F89" s="49"/>
      <c r="G89" s="59"/>
      <c r="H89" s="59"/>
      <c r="I89" s="59"/>
      <c r="J89" s="59"/>
      <c r="K89" s="59"/>
      <c r="L89" s="59"/>
      <c r="M89" s="57"/>
      <c r="N89" s="57"/>
      <c r="O89" s="59"/>
      <c r="P89" s="59"/>
      <c r="Q89" s="59"/>
    </row>
    <row r="90" spans="1:17" ht="33.75" customHeight="1" x14ac:dyDescent="0.3">
      <c r="A90" s="29"/>
      <c r="B90" s="30"/>
      <c r="C90" s="31"/>
      <c r="D90" s="30"/>
      <c r="E90" s="48"/>
      <c r="F90" s="49"/>
      <c r="G90" s="33"/>
      <c r="H90" s="33"/>
      <c r="I90" s="33"/>
      <c r="J90" s="33"/>
      <c r="K90" s="33"/>
      <c r="L90" s="33"/>
      <c r="M90" s="34"/>
      <c r="N90" s="34"/>
      <c r="O90" s="33"/>
      <c r="P90" s="33"/>
      <c r="Q90" s="33"/>
    </row>
    <row r="91" spans="1:17" ht="33.75" customHeight="1" x14ac:dyDescent="0.3">
      <c r="A91" s="29"/>
      <c r="B91" s="30"/>
      <c r="C91" s="31"/>
      <c r="D91" s="30"/>
      <c r="E91" s="48"/>
      <c r="F91" s="49"/>
      <c r="G91" s="33"/>
      <c r="H91" s="33"/>
      <c r="I91" s="33"/>
      <c r="J91" s="33"/>
      <c r="K91" s="33"/>
      <c r="L91" s="33"/>
      <c r="M91" s="34"/>
      <c r="N91" s="34"/>
      <c r="O91" s="33"/>
      <c r="P91" s="33"/>
      <c r="Q91" s="33"/>
    </row>
    <row r="92" spans="1:17" ht="33.75" customHeight="1" x14ac:dyDescent="0.3">
      <c r="A92" s="29"/>
      <c r="B92" s="30"/>
      <c r="C92" s="31"/>
      <c r="D92" s="30"/>
      <c r="E92" s="48"/>
      <c r="F92" s="49"/>
      <c r="G92" s="33"/>
      <c r="H92" s="33"/>
      <c r="I92" s="33"/>
      <c r="J92" s="33"/>
      <c r="K92" s="33"/>
      <c r="L92" s="33"/>
      <c r="M92" s="34"/>
      <c r="N92" s="34"/>
      <c r="O92" s="33"/>
      <c r="P92" s="33"/>
      <c r="Q92" s="33"/>
    </row>
    <row r="93" spans="1:17" ht="33.75" customHeight="1" x14ac:dyDescent="0.3">
      <c r="A93" s="35"/>
      <c r="B93" s="36"/>
      <c r="C93" s="42"/>
      <c r="D93" s="36"/>
      <c r="E93" s="38"/>
      <c r="F93" s="39"/>
      <c r="G93" s="40"/>
      <c r="H93" s="40"/>
      <c r="I93" s="40"/>
      <c r="J93" s="40"/>
      <c r="K93" s="40"/>
      <c r="L93" s="40"/>
      <c r="M93" s="40"/>
      <c r="N93" s="41"/>
      <c r="O93" s="40"/>
      <c r="P93" s="40"/>
      <c r="Q93" s="40"/>
    </row>
    <row r="94" spans="1:17" ht="33.75" customHeight="1" x14ac:dyDescent="0.3">
      <c r="A94" s="29"/>
      <c r="B94" s="30"/>
      <c r="C94" s="31"/>
      <c r="D94" s="30"/>
      <c r="E94" s="48"/>
      <c r="F94" s="49"/>
      <c r="G94" s="33"/>
      <c r="H94" s="33"/>
      <c r="I94" s="33"/>
      <c r="J94" s="33"/>
      <c r="K94" s="33"/>
      <c r="L94" s="33"/>
      <c r="M94" s="33"/>
      <c r="N94" s="34"/>
      <c r="O94" s="33"/>
      <c r="P94" s="33"/>
      <c r="Q94" s="33"/>
    </row>
    <row r="95" spans="1:17" ht="33.75" customHeight="1" x14ac:dyDescent="0.3">
      <c r="A95" s="29"/>
      <c r="B95" s="30"/>
      <c r="C95" s="31"/>
      <c r="D95" s="30"/>
      <c r="E95" s="48"/>
      <c r="F95" s="31"/>
      <c r="G95" s="33"/>
      <c r="H95" s="33"/>
      <c r="I95" s="33"/>
      <c r="J95" s="33"/>
      <c r="K95" s="33"/>
      <c r="L95" s="33"/>
      <c r="M95" s="34"/>
      <c r="N95" s="34"/>
      <c r="O95" s="33"/>
      <c r="P95" s="33"/>
      <c r="Q95" s="33"/>
    </row>
    <row r="96" spans="1:17" ht="33.75" customHeight="1" x14ac:dyDescent="0.3">
      <c r="A96" s="29"/>
      <c r="B96" s="30"/>
      <c r="C96" s="31"/>
      <c r="D96" s="30"/>
      <c r="E96" s="48"/>
      <c r="F96" s="49"/>
      <c r="G96" s="59"/>
      <c r="H96" s="59"/>
      <c r="I96" s="59"/>
      <c r="J96" s="59"/>
      <c r="K96" s="59"/>
      <c r="L96" s="59"/>
      <c r="M96" s="57"/>
      <c r="N96" s="57"/>
      <c r="O96" s="59"/>
      <c r="P96" s="59"/>
      <c r="Q96" s="59"/>
    </row>
    <row r="97" spans="1:17" ht="33.75" customHeight="1" x14ac:dyDescent="0.3">
      <c r="A97" s="29"/>
      <c r="B97" s="30"/>
      <c r="C97" s="31"/>
      <c r="D97" s="30"/>
      <c r="E97" s="48"/>
      <c r="F97" s="49"/>
      <c r="G97" s="59"/>
      <c r="H97" s="59"/>
      <c r="I97" s="59"/>
      <c r="J97" s="59"/>
      <c r="K97" s="59"/>
      <c r="L97" s="59"/>
      <c r="M97" s="57"/>
      <c r="N97" s="57"/>
      <c r="O97" s="59"/>
      <c r="P97" s="59"/>
      <c r="Q97" s="59"/>
    </row>
    <row r="98" spans="1:17" ht="33.75" customHeight="1" x14ac:dyDescent="0.3">
      <c r="A98" s="35"/>
      <c r="B98" s="43"/>
      <c r="C98" s="42"/>
      <c r="D98" s="36"/>
      <c r="E98" s="38"/>
      <c r="F98" s="39"/>
      <c r="G98" s="40"/>
      <c r="H98" s="40"/>
      <c r="I98" s="40"/>
      <c r="J98" s="40"/>
      <c r="K98" s="40"/>
      <c r="L98" s="40"/>
      <c r="M98" s="40"/>
      <c r="N98" s="41"/>
      <c r="O98" s="40"/>
      <c r="P98" s="40"/>
      <c r="Q98" s="40"/>
    </row>
    <row r="99" spans="1:17" ht="33.75" customHeight="1" x14ac:dyDescent="0.3">
      <c r="A99" s="29"/>
      <c r="B99" s="30"/>
      <c r="C99" s="31"/>
      <c r="D99" s="30"/>
      <c r="E99" s="38"/>
      <c r="F99" s="49"/>
      <c r="G99" s="33"/>
      <c r="H99" s="33"/>
      <c r="I99" s="40"/>
      <c r="J99" s="40"/>
      <c r="K99" s="40"/>
      <c r="L99" s="40"/>
      <c r="M99" s="40"/>
      <c r="N99" s="41"/>
      <c r="O99" s="40"/>
      <c r="P99" s="40"/>
      <c r="Q99" s="40"/>
    </row>
    <row r="100" spans="1:17" ht="33.75" customHeight="1" x14ac:dyDescent="0.3">
      <c r="A100" s="35"/>
      <c r="B100" s="36"/>
      <c r="C100" s="31"/>
      <c r="D100" s="36"/>
      <c r="E100" s="38"/>
      <c r="F100" s="39"/>
      <c r="G100" s="40"/>
      <c r="H100" s="40"/>
      <c r="I100" s="40"/>
      <c r="J100" s="40"/>
      <c r="K100" s="40"/>
      <c r="L100" s="40"/>
      <c r="M100" s="40"/>
      <c r="N100" s="41"/>
      <c r="O100" s="40"/>
      <c r="P100" s="40"/>
      <c r="Q100" s="40"/>
    </row>
    <row r="101" spans="1:17" ht="33.75" customHeight="1" x14ac:dyDescent="0.3">
      <c r="A101" s="29"/>
      <c r="B101" s="30"/>
      <c r="C101" s="47"/>
      <c r="D101" s="30"/>
      <c r="E101" s="48"/>
      <c r="F101" s="49"/>
      <c r="G101" s="59"/>
      <c r="H101" s="59"/>
      <c r="I101" s="59"/>
      <c r="J101" s="59"/>
      <c r="K101" s="59"/>
      <c r="L101" s="59"/>
      <c r="M101" s="57"/>
      <c r="N101" s="57"/>
      <c r="O101" s="59"/>
      <c r="P101" s="59"/>
      <c r="Q101" s="59"/>
    </row>
    <row r="102" spans="1:17" ht="33.75" customHeight="1" x14ac:dyDescent="0.3">
      <c r="A102" s="29"/>
      <c r="B102" s="30"/>
      <c r="C102" s="31"/>
      <c r="D102" s="30"/>
      <c r="E102" s="48"/>
      <c r="F102" s="49"/>
      <c r="G102" s="33"/>
      <c r="H102" s="33"/>
      <c r="I102" s="33"/>
      <c r="J102" s="33"/>
      <c r="K102" s="33"/>
      <c r="L102" s="33"/>
      <c r="M102" s="34"/>
      <c r="N102" s="34"/>
      <c r="O102" s="33"/>
      <c r="P102" s="33"/>
      <c r="Q102" s="33"/>
    </row>
    <row r="103" spans="1:17" ht="33.75" customHeight="1" x14ac:dyDescent="0.3">
      <c r="A103" s="29"/>
      <c r="B103" s="30"/>
      <c r="C103" s="31"/>
      <c r="D103" s="30"/>
      <c r="E103" s="48"/>
      <c r="F103" s="49"/>
      <c r="G103" s="33"/>
      <c r="H103" s="33"/>
      <c r="I103" s="33"/>
      <c r="J103" s="33"/>
      <c r="K103" s="33"/>
      <c r="L103" s="33"/>
      <c r="M103" s="33"/>
      <c r="N103" s="34"/>
      <c r="O103" s="33"/>
      <c r="P103" s="33"/>
      <c r="Q103" s="33"/>
    </row>
    <row r="104" spans="1:17" ht="33.75" customHeight="1" x14ac:dyDescent="0.3">
      <c r="A104" s="35"/>
      <c r="B104" s="36"/>
      <c r="C104" s="42"/>
      <c r="D104" s="36"/>
      <c r="E104" s="38"/>
      <c r="F104" s="39"/>
      <c r="G104" s="40"/>
      <c r="H104" s="40"/>
      <c r="I104" s="40"/>
      <c r="J104" s="40"/>
      <c r="K104" s="40"/>
      <c r="L104" s="40"/>
      <c r="M104" s="40"/>
      <c r="N104" s="41"/>
      <c r="O104" s="40"/>
      <c r="P104" s="40"/>
      <c r="Q104" s="40"/>
    </row>
    <row r="105" spans="1:17" ht="33.75" customHeight="1" x14ac:dyDescent="0.3">
      <c r="A105" s="35"/>
      <c r="B105" s="36"/>
      <c r="C105" s="42"/>
      <c r="D105" s="36"/>
      <c r="E105" s="38"/>
      <c r="F105" s="39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 spans="1:17" ht="33.75" customHeight="1" x14ac:dyDescent="0.3">
      <c r="A106" s="29"/>
      <c r="B106" s="30"/>
      <c r="C106" s="31"/>
      <c r="D106" s="30"/>
      <c r="E106" s="48"/>
      <c r="F106" s="49"/>
      <c r="G106" s="59"/>
      <c r="H106" s="59"/>
      <c r="I106" s="59"/>
      <c r="J106" s="59"/>
      <c r="K106" s="59"/>
      <c r="L106" s="59"/>
      <c r="M106" s="57"/>
      <c r="N106" s="57"/>
      <c r="O106" s="59"/>
      <c r="P106" s="59"/>
      <c r="Q106" s="59"/>
    </row>
    <row r="107" spans="1:17" ht="33.75" customHeight="1" x14ac:dyDescent="0.3">
      <c r="A107" s="29"/>
      <c r="B107" s="30"/>
      <c r="C107" s="31"/>
      <c r="D107" s="30"/>
      <c r="E107" s="48"/>
      <c r="F107" s="49"/>
      <c r="G107" s="33"/>
      <c r="H107" s="33"/>
      <c r="I107" s="33"/>
      <c r="J107" s="33"/>
      <c r="K107" s="33"/>
      <c r="L107" s="33"/>
      <c r="M107" s="34"/>
      <c r="N107" s="34"/>
      <c r="O107" s="33"/>
      <c r="P107" s="33"/>
      <c r="Q107" s="33"/>
    </row>
    <row r="108" spans="1:17" ht="33.75" customHeight="1" x14ac:dyDescent="0.3">
      <c r="A108" s="35"/>
      <c r="B108" s="36"/>
      <c r="C108" s="42"/>
      <c r="D108" s="36"/>
      <c r="E108" s="38"/>
      <c r="F108" s="39"/>
      <c r="G108" s="40"/>
      <c r="H108" s="40"/>
      <c r="I108" s="40"/>
      <c r="J108" s="40"/>
      <c r="K108" s="40"/>
      <c r="L108" s="40"/>
      <c r="M108" s="40"/>
      <c r="N108" s="41"/>
      <c r="O108" s="40"/>
      <c r="P108" s="40"/>
      <c r="Q108" s="40"/>
    </row>
    <row r="109" spans="1:17" ht="33.75" customHeight="1" x14ac:dyDescent="0.3">
      <c r="A109" s="35"/>
      <c r="B109" s="36"/>
      <c r="C109" s="37"/>
      <c r="D109" s="36"/>
      <c r="E109" s="38"/>
      <c r="F109" s="39"/>
      <c r="G109" s="40"/>
      <c r="H109" s="40"/>
      <c r="I109" s="40"/>
      <c r="J109" s="40"/>
      <c r="K109" s="40"/>
      <c r="L109" s="40"/>
      <c r="M109" s="40"/>
      <c r="N109" s="41"/>
      <c r="O109" s="40"/>
      <c r="P109" s="40"/>
      <c r="Q109" s="40"/>
    </row>
    <row r="110" spans="1:17" ht="33.75" customHeight="1" x14ac:dyDescent="0.3">
      <c r="A110" s="35"/>
      <c r="B110" s="36"/>
      <c r="C110" s="31"/>
      <c r="D110" s="36"/>
      <c r="E110" s="38"/>
      <c r="F110" s="39"/>
      <c r="G110" s="40"/>
      <c r="H110" s="40"/>
      <c r="I110" s="40"/>
      <c r="J110" s="40"/>
      <c r="K110" s="40"/>
      <c r="L110" s="40"/>
      <c r="M110" s="40"/>
      <c r="N110" s="41"/>
      <c r="O110" s="40"/>
      <c r="P110" s="40"/>
      <c r="Q110" s="40"/>
    </row>
    <row r="111" spans="1:17" ht="33.75" customHeight="1" x14ac:dyDescent="0.3">
      <c r="A111" s="35"/>
      <c r="B111" s="36"/>
      <c r="C111" s="42"/>
      <c r="D111" s="36"/>
      <c r="E111" s="38"/>
      <c r="F111" s="39"/>
      <c r="G111" s="40"/>
      <c r="H111" s="40"/>
      <c r="I111" s="40"/>
      <c r="J111" s="40"/>
      <c r="K111" s="40"/>
      <c r="L111" s="40"/>
      <c r="M111" s="40"/>
      <c r="N111" s="41"/>
      <c r="O111" s="40"/>
      <c r="P111" s="40"/>
      <c r="Q111" s="40"/>
    </row>
    <row r="112" spans="1:17" ht="33.75" customHeight="1" x14ac:dyDescent="0.3">
      <c r="A112" s="29"/>
      <c r="B112" s="30"/>
      <c r="C112" s="31"/>
      <c r="D112" s="30"/>
      <c r="E112" s="48"/>
      <c r="F112" s="49"/>
      <c r="G112" s="33"/>
      <c r="H112" s="33"/>
      <c r="I112" s="33"/>
      <c r="J112" s="33"/>
      <c r="K112" s="33"/>
      <c r="L112" s="33"/>
      <c r="M112" s="34"/>
      <c r="N112" s="34"/>
      <c r="O112" s="33"/>
      <c r="P112" s="33"/>
      <c r="Q112" s="33"/>
    </row>
    <row r="113" spans="1:17" ht="33.75" customHeight="1" x14ac:dyDescent="0.3">
      <c r="A113" s="29"/>
      <c r="B113" s="30"/>
      <c r="C113" s="31"/>
      <c r="D113" s="30"/>
      <c r="E113" s="48"/>
      <c r="F113" s="49"/>
      <c r="G113" s="33"/>
      <c r="H113" s="33"/>
      <c r="I113" s="33"/>
      <c r="J113" s="33"/>
      <c r="K113" s="33"/>
      <c r="L113" s="33"/>
      <c r="M113" s="33"/>
      <c r="N113" s="34"/>
      <c r="O113" s="33"/>
      <c r="P113" s="33"/>
      <c r="Q113" s="33"/>
    </row>
    <row r="114" spans="1:17" ht="33.75" customHeight="1" x14ac:dyDescent="0.3">
      <c r="A114" s="29"/>
      <c r="B114" s="30"/>
      <c r="C114" s="31"/>
      <c r="D114" s="30"/>
      <c r="E114" s="48"/>
      <c r="F114" s="49"/>
      <c r="G114" s="59"/>
      <c r="H114" s="59"/>
      <c r="I114" s="59"/>
      <c r="J114" s="59"/>
      <c r="K114" s="59"/>
      <c r="L114" s="59"/>
      <c r="M114" s="57"/>
      <c r="N114" s="57"/>
      <c r="O114" s="59"/>
      <c r="P114" s="59"/>
      <c r="Q114" s="59"/>
    </row>
    <row r="115" spans="1:17" ht="33.75" customHeight="1" x14ac:dyDescent="0.3">
      <c r="A115" s="35"/>
      <c r="B115" s="36"/>
      <c r="C115" s="42"/>
      <c r="D115" s="36"/>
      <c r="E115" s="38"/>
      <c r="F115" s="39"/>
      <c r="G115" s="40"/>
      <c r="H115" s="40"/>
      <c r="I115" s="40"/>
      <c r="J115" s="40"/>
      <c r="K115" s="40"/>
      <c r="L115" s="40"/>
      <c r="M115" s="40"/>
      <c r="N115" s="41"/>
      <c r="O115" s="40"/>
      <c r="P115" s="40"/>
      <c r="Q115" s="40"/>
    </row>
    <row r="116" spans="1:17" ht="33.75" customHeight="1" x14ac:dyDescent="0.3">
      <c r="A116" s="35"/>
      <c r="B116" s="36"/>
      <c r="C116" s="42"/>
      <c r="D116" s="36"/>
      <c r="E116" s="38"/>
      <c r="F116" s="39"/>
      <c r="G116" s="40"/>
      <c r="H116" s="40"/>
      <c r="I116" s="40"/>
      <c r="J116" s="40"/>
      <c r="K116" s="40"/>
      <c r="L116" s="40"/>
      <c r="M116" s="40"/>
      <c r="N116" s="41"/>
      <c r="O116" s="40"/>
      <c r="P116" s="40"/>
      <c r="Q116" s="40"/>
    </row>
    <row r="117" spans="1:17" ht="33.75" customHeight="1" x14ac:dyDescent="0.3">
      <c r="A117" s="35"/>
      <c r="B117" s="44"/>
      <c r="C117" s="42"/>
      <c r="D117" s="36"/>
      <c r="E117" s="38"/>
      <c r="F117" s="39"/>
      <c r="G117" s="40"/>
      <c r="H117" s="40"/>
      <c r="I117" s="40"/>
      <c r="J117" s="40"/>
      <c r="K117" s="40"/>
      <c r="L117" s="40"/>
      <c r="M117" s="40"/>
      <c r="N117" s="41"/>
      <c r="O117" s="40"/>
      <c r="P117" s="40"/>
      <c r="Q117" s="40"/>
    </row>
    <row r="118" spans="1:17" ht="33.75" customHeight="1" x14ac:dyDescent="0.3">
      <c r="A118" s="29"/>
      <c r="B118" s="30"/>
      <c r="C118" s="31"/>
      <c r="D118" s="30"/>
      <c r="E118" s="48"/>
      <c r="F118" s="49"/>
      <c r="G118" s="33"/>
      <c r="H118" s="33"/>
      <c r="I118" s="33"/>
      <c r="J118" s="33"/>
      <c r="K118" s="33"/>
      <c r="L118" s="33"/>
      <c r="M118" s="34"/>
      <c r="N118" s="34"/>
      <c r="O118" s="33"/>
      <c r="P118" s="33"/>
      <c r="Q118" s="33"/>
    </row>
    <row r="119" spans="1:17" ht="33.75" customHeight="1" x14ac:dyDescent="0.3">
      <c r="A119" s="35"/>
      <c r="B119" s="36"/>
      <c r="C119" s="42"/>
      <c r="D119" s="36"/>
      <c r="E119" s="38"/>
      <c r="F119" s="39"/>
      <c r="G119" s="40"/>
      <c r="H119" s="40"/>
      <c r="I119" s="40"/>
      <c r="J119" s="40"/>
      <c r="K119" s="40"/>
      <c r="L119" s="40"/>
      <c r="M119" s="40"/>
      <c r="N119" s="41"/>
      <c r="O119" s="40"/>
      <c r="P119" s="40"/>
      <c r="Q119" s="40"/>
    </row>
    <row r="120" spans="1:17" ht="33.75" customHeight="1" x14ac:dyDescent="0.3">
      <c r="A120" s="29"/>
      <c r="B120" s="30"/>
      <c r="C120" s="31"/>
      <c r="D120" s="30"/>
      <c r="E120" s="48"/>
      <c r="F120" s="49"/>
      <c r="G120" s="33"/>
      <c r="H120" s="33"/>
      <c r="I120" s="33"/>
      <c r="J120" s="33"/>
      <c r="K120" s="33"/>
      <c r="L120" s="33"/>
      <c r="M120" s="34"/>
      <c r="N120" s="34"/>
      <c r="O120" s="33"/>
      <c r="P120" s="33"/>
      <c r="Q120" s="33"/>
    </row>
    <row r="121" spans="1:17" ht="33.75" customHeight="1" x14ac:dyDescent="0.3">
      <c r="A121" s="29"/>
      <c r="B121" s="30"/>
      <c r="C121" s="31"/>
      <c r="D121" s="30"/>
      <c r="E121" s="48"/>
      <c r="F121" s="49"/>
      <c r="G121" s="59"/>
      <c r="H121" s="59"/>
      <c r="I121" s="59"/>
      <c r="J121" s="59"/>
      <c r="K121" s="59"/>
      <c r="L121" s="59"/>
      <c r="M121" s="57"/>
      <c r="N121" s="57"/>
      <c r="O121" s="59"/>
      <c r="P121" s="59"/>
      <c r="Q121" s="59"/>
    </row>
    <row r="122" spans="1:17" ht="33.75" customHeight="1" x14ac:dyDescent="0.3">
      <c r="A122" s="29"/>
      <c r="B122" s="30"/>
      <c r="C122" s="31"/>
      <c r="D122" s="30"/>
      <c r="E122" s="48"/>
      <c r="F122" s="49"/>
      <c r="G122" s="59"/>
      <c r="H122" s="59"/>
      <c r="I122" s="59"/>
      <c r="J122" s="59"/>
      <c r="K122" s="59"/>
      <c r="L122" s="59"/>
      <c r="M122" s="57"/>
      <c r="N122" s="57"/>
      <c r="O122" s="59"/>
      <c r="P122" s="59"/>
      <c r="Q122" s="59"/>
    </row>
    <row r="123" spans="1:17" ht="33.75" customHeight="1" x14ac:dyDescent="0.3">
      <c r="A123" s="29"/>
      <c r="B123" s="30"/>
      <c r="C123" s="31"/>
      <c r="D123" s="30"/>
      <c r="E123" s="48"/>
      <c r="F123" s="49"/>
      <c r="G123" s="33"/>
      <c r="H123" s="33"/>
      <c r="I123" s="33"/>
      <c r="J123" s="33"/>
      <c r="K123" s="33"/>
      <c r="L123" s="33"/>
      <c r="M123" s="34"/>
      <c r="N123" s="34"/>
      <c r="O123" s="33"/>
      <c r="P123" s="33"/>
      <c r="Q123" s="33"/>
    </row>
    <row r="124" spans="1:17" ht="33.75" customHeight="1" x14ac:dyDescent="0.3">
      <c r="A124" s="29"/>
      <c r="B124" s="30"/>
      <c r="C124" s="31"/>
      <c r="D124" s="30"/>
      <c r="E124" s="48"/>
      <c r="F124" s="49"/>
      <c r="G124" s="33"/>
      <c r="H124" s="33"/>
      <c r="I124" s="33"/>
      <c r="J124" s="33"/>
      <c r="K124" s="33"/>
      <c r="L124" s="33"/>
      <c r="M124" s="34"/>
      <c r="N124" s="34"/>
      <c r="O124" s="33"/>
      <c r="P124" s="33"/>
      <c r="Q124" s="33"/>
    </row>
    <row r="125" spans="1:17" ht="33.75" customHeight="1" x14ac:dyDescent="0.3">
      <c r="A125" s="29"/>
      <c r="B125" s="30"/>
      <c r="C125" s="31"/>
      <c r="D125" s="30"/>
      <c r="E125" s="48"/>
      <c r="F125" s="49"/>
      <c r="G125" s="33"/>
      <c r="H125" s="33"/>
      <c r="I125" s="33"/>
      <c r="J125" s="33"/>
      <c r="K125" s="33"/>
      <c r="L125" s="33"/>
      <c r="M125" s="34"/>
      <c r="N125" s="34"/>
      <c r="O125" s="33"/>
      <c r="P125" s="33"/>
      <c r="Q125" s="33"/>
    </row>
    <row r="126" spans="1:17" ht="33.75" customHeight="1" x14ac:dyDescent="0.3">
      <c r="A126" s="29"/>
      <c r="B126" s="30"/>
      <c r="C126" s="31"/>
      <c r="D126" s="30"/>
      <c r="E126" s="48"/>
      <c r="F126" s="49"/>
      <c r="G126" s="33"/>
      <c r="H126" s="33"/>
      <c r="I126" s="33"/>
      <c r="J126" s="33"/>
      <c r="K126" s="33"/>
      <c r="L126" s="33"/>
      <c r="M126" s="34"/>
      <c r="N126" s="34"/>
      <c r="O126" s="33"/>
      <c r="P126" s="33"/>
      <c r="Q126" s="33"/>
    </row>
    <row r="127" spans="1:17" ht="33.75" customHeight="1" x14ac:dyDescent="0.3">
      <c r="A127" s="29"/>
      <c r="B127" s="30"/>
      <c r="C127" s="31"/>
      <c r="D127" s="30"/>
      <c r="E127" s="48"/>
      <c r="F127" s="49"/>
      <c r="G127" s="33"/>
      <c r="H127" s="33"/>
      <c r="I127" s="33"/>
      <c r="J127" s="33"/>
      <c r="K127" s="33"/>
      <c r="L127" s="33"/>
      <c r="M127" s="34"/>
      <c r="N127" s="34"/>
      <c r="O127" s="33"/>
      <c r="P127" s="33"/>
      <c r="Q127" s="33"/>
    </row>
    <row r="128" spans="1:17" ht="33.75" customHeight="1" x14ac:dyDescent="0.3">
      <c r="A128" s="29"/>
      <c r="B128" s="30"/>
      <c r="C128" s="31"/>
      <c r="D128" s="30"/>
      <c r="E128" s="48"/>
      <c r="F128" s="49"/>
      <c r="G128" s="33"/>
      <c r="H128" s="33"/>
      <c r="I128" s="33"/>
      <c r="J128" s="33"/>
      <c r="K128" s="33"/>
      <c r="L128" s="33"/>
      <c r="M128" s="34"/>
      <c r="N128" s="34"/>
      <c r="O128" s="33"/>
      <c r="P128" s="33"/>
      <c r="Q128" s="33"/>
    </row>
    <row r="129" spans="1:17" ht="33.75" customHeight="1" x14ac:dyDescent="0.3">
      <c r="A129" s="29"/>
      <c r="B129" s="30"/>
      <c r="C129" s="31"/>
      <c r="D129" s="30"/>
      <c r="E129" s="48"/>
      <c r="F129" s="49"/>
      <c r="G129" s="33"/>
      <c r="H129" s="33"/>
      <c r="I129" s="33"/>
      <c r="J129" s="33"/>
      <c r="K129" s="33"/>
      <c r="L129" s="33"/>
      <c r="M129" s="34"/>
      <c r="N129" s="34"/>
      <c r="O129" s="33"/>
      <c r="P129" s="33"/>
      <c r="Q129" s="33"/>
    </row>
    <row r="130" spans="1:17" ht="33.75" customHeight="1" x14ac:dyDescent="0.3">
      <c r="A130" s="29"/>
      <c r="B130" s="30"/>
      <c r="C130" s="31"/>
      <c r="D130" s="30"/>
      <c r="E130" s="48"/>
      <c r="F130" s="49"/>
      <c r="G130" s="33"/>
      <c r="H130" s="33"/>
      <c r="I130" s="33"/>
      <c r="J130" s="33"/>
      <c r="K130" s="33"/>
      <c r="L130" s="33"/>
      <c r="M130" s="34"/>
      <c r="N130" s="34"/>
      <c r="O130" s="33"/>
      <c r="P130" s="33"/>
      <c r="Q130" s="33"/>
    </row>
    <row r="131" spans="1:17" ht="33.75" customHeight="1" x14ac:dyDescent="0.3">
      <c r="A131" s="29"/>
      <c r="B131" s="30"/>
      <c r="C131" s="31"/>
      <c r="D131" s="30"/>
      <c r="E131" s="48"/>
      <c r="F131" s="49"/>
      <c r="G131" s="33"/>
      <c r="H131" s="33"/>
      <c r="I131" s="33"/>
      <c r="J131" s="33"/>
      <c r="K131" s="33"/>
      <c r="L131" s="33"/>
      <c r="M131" s="34"/>
      <c r="N131" s="34"/>
      <c r="O131" s="33"/>
      <c r="P131" s="33"/>
      <c r="Q131" s="33"/>
    </row>
    <row r="132" spans="1:17" ht="33.75" customHeight="1" x14ac:dyDescent="0.3">
      <c r="A132" s="29"/>
      <c r="B132" s="30"/>
      <c r="C132" s="31"/>
      <c r="D132" s="30"/>
      <c r="E132" s="48"/>
      <c r="F132" s="49"/>
      <c r="G132" s="33"/>
      <c r="H132" s="33"/>
      <c r="I132" s="33"/>
      <c r="J132" s="33"/>
      <c r="K132" s="33"/>
      <c r="L132" s="33"/>
      <c r="M132" s="34"/>
      <c r="N132" s="34"/>
      <c r="O132" s="33"/>
      <c r="P132" s="33"/>
      <c r="Q132" s="33"/>
    </row>
    <row r="133" spans="1:17" ht="33.75" customHeight="1" x14ac:dyDescent="0.3">
      <c r="A133" s="29"/>
      <c r="B133" s="30"/>
      <c r="C133" s="31"/>
      <c r="D133" s="30"/>
      <c r="E133" s="48"/>
      <c r="F133" s="49"/>
      <c r="G133" s="33"/>
      <c r="H133" s="33"/>
      <c r="I133" s="33"/>
      <c r="J133" s="33"/>
      <c r="K133" s="33"/>
      <c r="L133" s="33"/>
      <c r="M133" s="34"/>
      <c r="N133" s="34"/>
      <c r="O133" s="33"/>
      <c r="P133" s="33"/>
      <c r="Q133" s="33"/>
    </row>
    <row r="134" spans="1:17" ht="33.75" customHeight="1" x14ac:dyDescent="0.3">
      <c r="A134" s="29"/>
      <c r="B134" s="30"/>
      <c r="C134" s="31"/>
      <c r="D134" s="30"/>
      <c r="E134" s="48"/>
      <c r="F134" s="49"/>
      <c r="G134" s="33"/>
      <c r="H134" s="33"/>
      <c r="I134" s="33"/>
      <c r="J134" s="33"/>
      <c r="K134" s="33"/>
      <c r="L134" s="33"/>
      <c r="M134" s="34"/>
      <c r="N134" s="34"/>
      <c r="O134" s="33"/>
      <c r="P134" s="33"/>
      <c r="Q134" s="33"/>
    </row>
    <row r="135" spans="1:17" ht="33.75" customHeight="1" x14ac:dyDescent="0.3">
      <c r="A135" s="29"/>
      <c r="B135" s="30"/>
      <c r="C135" s="31"/>
      <c r="D135" s="30"/>
      <c r="E135" s="48"/>
      <c r="F135" s="49"/>
      <c r="G135" s="33"/>
      <c r="H135" s="33"/>
      <c r="I135" s="33"/>
      <c r="J135" s="33"/>
      <c r="K135" s="33"/>
      <c r="L135" s="33"/>
      <c r="M135" s="34"/>
      <c r="N135" s="34"/>
      <c r="O135" s="33"/>
      <c r="P135" s="33"/>
      <c r="Q135" s="33"/>
    </row>
    <row r="136" spans="1:17" ht="33.75" customHeight="1" x14ac:dyDescent="0.3">
      <c r="A136" s="29"/>
      <c r="B136" s="30"/>
      <c r="C136" s="31"/>
      <c r="D136" s="30"/>
      <c r="E136" s="48"/>
      <c r="F136" s="49"/>
      <c r="G136" s="33"/>
      <c r="H136" s="33"/>
      <c r="I136" s="33"/>
      <c r="J136" s="33"/>
      <c r="K136" s="33"/>
      <c r="L136" s="33"/>
      <c r="M136" s="34"/>
      <c r="N136" s="34"/>
      <c r="O136" s="33"/>
      <c r="P136" s="33"/>
      <c r="Q136" s="33"/>
    </row>
    <row r="137" spans="1:17" ht="33.75" customHeight="1" x14ac:dyDescent="0.3">
      <c r="A137" s="29"/>
      <c r="B137" s="30"/>
      <c r="C137" s="31"/>
      <c r="D137" s="30"/>
      <c r="E137" s="48"/>
      <c r="F137" s="49"/>
      <c r="G137" s="33"/>
      <c r="H137" s="33"/>
      <c r="I137" s="33"/>
      <c r="J137" s="33"/>
      <c r="K137" s="33"/>
      <c r="L137" s="33"/>
      <c r="M137" s="34"/>
      <c r="N137" s="34"/>
      <c r="O137" s="33"/>
      <c r="P137" s="33"/>
      <c r="Q137" s="33"/>
    </row>
    <row r="138" spans="1:17" ht="33.75" customHeight="1" x14ac:dyDescent="0.3">
      <c r="A138" s="29"/>
      <c r="B138" s="30"/>
      <c r="C138" s="31"/>
      <c r="D138" s="100"/>
      <c r="E138" s="48"/>
      <c r="F138" s="49"/>
      <c r="G138" s="33"/>
      <c r="H138" s="33"/>
      <c r="I138" s="33"/>
      <c r="J138" s="33"/>
      <c r="K138" s="33"/>
      <c r="L138" s="33"/>
      <c r="M138" s="34"/>
      <c r="N138" s="34"/>
      <c r="O138" s="33"/>
      <c r="P138" s="33"/>
      <c r="Q138" s="33"/>
    </row>
    <row r="139" spans="1:17" ht="33.75" customHeight="1" x14ac:dyDescent="0.3">
      <c r="A139" s="29"/>
      <c r="B139" s="30"/>
      <c r="C139" s="31"/>
      <c r="D139" s="30"/>
      <c r="E139" s="48"/>
      <c r="F139" s="49"/>
      <c r="G139" s="33"/>
      <c r="H139" s="33"/>
      <c r="I139" s="33"/>
      <c r="J139" s="33"/>
      <c r="K139" s="33"/>
      <c r="L139" s="33"/>
      <c r="M139" s="34"/>
      <c r="N139" s="34"/>
      <c r="O139" s="33"/>
      <c r="P139" s="33"/>
      <c r="Q139" s="33"/>
    </row>
    <row r="140" spans="1:17" ht="33.75" customHeight="1" x14ac:dyDescent="0.3">
      <c r="A140" s="29"/>
      <c r="B140" s="30"/>
      <c r="C140" s="31"/>
      <c r="D140" s="30"/>
      <c r="E140" s="48"/>
      <c r="F140" s="49"/>
      <c r="G140" s="33"/>
      <c r="H140" s="33"/>
      <c r="I140" s="33"/>
      <c r="J140" s="33"/>
      <c r="K140" s="33"/>
      <c r="L140" s="33"/>
      <c r="M140" s="34"/>
      <c r="N140" s="34"/>
      <c r="O140" s="33"/>
      <c r="P140" s="33"/>
      <c r="Q140" s="33"/>
    </row>
    <row r="141" spans="1:17" ht="33.75" customHeight="1" x14ac:dyDescent="0.3">
      <c r="A141" s="29"/>
      <c r="B141" s="30"/>
      <c r="C141" s="31"/>
      <c r="D141" s="30"/>
      <c r="E141" s="48"/>
      <c r="F141" s="49"/>
      <c r="G141" s="33"/>
      <c r="H141" s="33"/>
      <c r="I141" s="33"/>
      <c r="J141" s="33"/>
      <c r="K141" s="33"/>
      <c r="L141" s="33"/>
      <c r="M141" s="34"/>
      <c r="N141" s="34"/>
      <c r="O141" s="33"/>
      <c r="P141" s="33"/>
      <c r="Q141" s="33"/>
    </row>
    <row r="142" spans="1:17" ht="33.75" customHeight="1" x14ac:dyDescent="0.3">
      <c r="A142" s="29"/>
      <c r="B142" s="30"/>
      <c r="C142" s="31"/>
      <c r="D142" s="30"/>
      <c r="E142" s="48"/>
      <c r="F142" s="49"/>
      <c r="G142" s="33"/>
      <c r="H142" s="33"/>
      <c r="I142" s="33"/>
      <c r="J142" s="33"/>
      <c r="K142" s="33"/>
      <c r="L142" s="33"/>
      <c r="M142" s="34"/>
      <c r="N142" s="34"/>
      <c r="O142" s="33"/>
      <c r="P142" s="33"/>
      <c r="Q142" s="33"/>
    </row>
    <row r="143" spans="1:17" ht="33.75" customHeight="1" x14ac:dyDescent="0.3">
      <c r="A143" s="29"/>
      <c r="B143" s="30"/>
      <c r="C143" s="31"/>
      <c r="D143" s="30"/>
      <c r="E143" s="48"/>
      <c r="F143" s="49"/>
      <c r="G143" s="59"/>
      <c r="H143" s="59"/>
      <c r="I143" s="59"/>
      <c r="J143" s="59"/>
      <c r="K143" s="59"/>
      <c r="L143" s="59"/>
      <c r="M143" s="57"/>
      <c r="N143" s="57"/>
      <c r="O143" s="59"/>
      <c r="P143" s="59"/>
      <c r="Q143" s="59"/>
    </row>
    <row r="144" spans="1:17" ht="33.75" customHeight="1" x14ac:dyDescent="0.3">
      <c r="A144" s="29"/>
      <c r="B144" s="30"/>
      <c r="C144" s="31"/>
      <c r="D144" s="30"/>
      <c r="E144" s="48"/>
      <c r="F144" s="49"/>
      <c r="G144" s="59"/>
      <c r="H144" s="59"/>
      <c r="I144" s="59"/>
      <c r="J144" s="59"/>
      <c r="K144" s="59"/>
      <c r="L144" s="59"/>
      <c r="M144" s="57"/>
      <c r="N144" s="57"/>
      <c r="O144" s="59"/>
      <c r="P144" s="59"/>
      <c r="Q144" s="59"/>
    </row>
    <row r="145" spans="1:17" ht="33.75" customHeight="1" x14ac:dyDescent="0.3">
      <c r="A145" s="29"/>
      <c r="B145" s="30"/>
      <c r="C145" s="31"/>
      <c r="D145" s="30"/>
      <c r="E145" s="48"/>
      <c r="F145" s="49"/>
      <c r="G145" s="59"/>
      <c r="H145" s="59"/>
      <c r="I145" s="59"/>
      <c r="J145" s="59"/>
      <c r="K145" s="59"/>
      <c r="L145" s="59"/>
      <c r="M145" s="57"/>
      <c r="N145" s="57"/>
      <c r="O145" s="59"/>
      <c r="P145" s="59"/>
      <c r="Q145" s="59"/>
    </row>
    <row r="146" spans="1:17" ht="33.75" customHeight="1" x14ac:dyDescent="0.3">
      <c r="A146" s="29"/>
      <c r="B146" s="30"/>
      <c r="C146" s="31"/>
      <c r="D146" s="30"/>
      <c r="E146" s="48"/>
      <c r="F146" s="49"/>
      <c r="G146" s="59"/>
      <c r="H146" s="59"/>
      <c r="I146" s="59"/>
      <c r="J146" s="59"/>
      <c r="K146" s="59"/>
      <c r="L146" s="59"/>
      <c r="M146" s="57"/>
      <c r="N146" s="57"/>
      <c r="O146" s="59"/>
      <c r="P146" s="59"/>
      <c r="Q146" s="59"/>
    </row>
    <row r="147" spans="1:17" ht="33.75" customHeight="1" x14ac:dyDescent="0.3">
      <c r="A147" s="29"/>
      <c r="B147" s="30"/>
      <c r="C147" s="31"/>
      <c r="D147" s="30"/>
      <c r="E147" s="48"/>
      <c r="F147" s="49"/>
      <c r="G147" s="59"/>
      <c r="H147" s="59"/>
      <c r="I147" s="59"/>
      <c r="J147" s="59"/>
      <c r="K147" s="59"/>
      <c r="L147" s="59"/>
      <c r="M147" s="57"/>
      <c r="N147" s="57"/>
      <c r="O147" s="59"/>
      <c r="P147" s="59"/>
      <c r="Q147" s="59"/>
    </row>
    <row r="148" spans="1:17" ht="33.75" customHeight="1" x14ac:dyDescent="0.3">
      <c r="A148" s="29"/>
      <c r="B148" s="30"/>
      <c r="C148" s="31"/>
      <c r="D148" s="30"/>
      <c r="E148" s="48"/>
      <c r="F148" s="49"/>
      <c r="G148" s="33"/>
      <c r="H148" s="33"/>
      <c r="I148" s="33"/>
      <c r="J148" s="33"/>
      <c r="K148" s="33"/>
      <c r="L148" s="33"/>
      <c r="M148" s="34"/>
      <c r="N148" s="34"/>
      <c r="O148" s="33"/>
      <c r="P148" s="33"/>
      <c r="Q148" s="33"/>
    </row>
    <row r="149" spans="1:17" ht="33.75" customHeight="1" x14ac:dyDescent="0.3">
      <c r="A149" s="29"/>
      <c r="B149" s="30"/>
      <c r="C149" s="31"/>
      <c r="D149" s="30"/>
      <c r="E149" s="48"/>
      <c r="F149" s="49"/>
      <c r="G149" s="33"/>
      <c r="H149" s="33"/>
      <c r="I149" s="33"/>
      <c r="J149" s="33"/>
      <c r="K149" s="33"/>
      <c r="L149" s="33"/>
      <c r="M149" s="34"/>
      <c r="N149" s="34"/>
      <c r="O149" s="33"/>
      <c r="P149" s="33"/>
      <c r="Q149" s="33"/>
    </row>
    <row r="150" spans="1:17" ht="33.75" customHeight="1" x14ac:dyDescent="0.3">
      <c r="A150" s="29"/>
      <c r="B150" s="30"/>
      <c r="C150" s="31"/>
      <c r="D150" s="30"/>
      <c r="E150" s="48"/>
      <c r="F150" s="49"/>
      <c r="G150" s="33"/>
      <c r="H150" s="33"/>
      <c r="I150" s="33"/>
      <c r="J150" s="33"/>
      <c r="K150" s="33"/>
      <c r="L150" s="33"/>
      <c r="M150" s="33"/>
      <c r="N150" s="34"/>
      <c r="O150" s="33"/>
      <c r="P150" s="33"/>
      <c r="Q150" s="33"/>
    </row>
    <row r="151" spans="1:17" ht="33.75" customHeight="1" x14ac:dyDescent="0.3">
      <c r="A151" s="29"/>
      <c r="B151" s="36"/>
      <c r="C151" s="42"/>
      <c r="D151" s="36"/>
      <c r="E151" s="38"/>
      <c r="F151" s="49"/>
      <c r="G151" s="40"/>
      <c r="H151" s="40"/>
      <c r="I151" s="40"/>
      <c r="J151" s="40"/>
      <c r="K151" s="40"/>
      <c r="L151" s="40"/>
      <c r="M151" s="40"/>
      <c r="N151" s="41"/>
      <c r="O151" s="40"/>
      <c r="P151" s="40"/>
      <c r="Q151" s="40"/>
    </row>
    <row r="152" spans="1:17" ht="33.75" customHeight="1" x14ac:dyDescent="0.3">
      <c r="A152" s="29"/>
      <c r="B152" s="43"/>
      <c r="C152" s="42"/>
      <c r="D152" s="36"/>
      <c r="E152" s="38"/>
      <c r="F152" s="49"/>
      <c r="G152" s="40"/>
      <c r="H152" s="40"/>
      <c r="I152" s="40"/>
      <c r="J152" s="40"/>
      <c r="K152" s="40"/>
      <c r="L152" s="40"/>
      <c r="M152" s="40"/>
      <c r="N152" s="41"/>
      <c r="O152" s="40"/>
      <c r="P152" s="40"/>
      <c r="Q152" s="40"/>
    </row>
    <row r="153" spans="1:17" ht="33.75" customHeight="1" x14ac:dyDescent="0.3">
      <c r="A153" s="29"/>
      <c r="B153" s="30"/>
      <c r="C153" s="31"/>
      <c r="D153" s="36"/>
      <c r="E153" s="83"/>
      <c r="F153" s="49"/>
      <c r="G153" s="40"/>
      <c r="H153" s="40"/>
      <c r="I153" s="40"/>
      <c r="J153" s="40"/>
      <c r="K153" s="40"/>
      <c r="L153" s="40"/>
      <c r="M153" s="40"/>
      <c r="N153" s="41"/>
      <c r="O153" s="40"/>
      <c r="P153" s="40"/>
      <c r="Q153" s="40"/>
    </row>
    <row r="154" spans="1:17" ht="33.75" customHeight="1" x14ac:dyDescent="0.3">
      <c r="A154" s="29"/>
      <c r="B154" s="30"/>
      <c r="C154" s="31"/>
      <c r="D154" s="36"/>
      <c r="E154" s="38"/>
      <c r="F154" s="49"/>
      <c r="G154" s="40"/>
      <c r="H154" s="40"/>
      <c r="I154" s="40"/>
      <c r="J154" s="40"/>
      <c r="K154" s="40"/>
      <c r="L154" s="40"/>
      <c r="M154" s="40"/>
      <c r="N154" s="41"/>
      <c r="O154" s="40"/>
      <c r="P154" s="40"/>
      <c r="Q154" s="40"/>
    </row>
    <row r="155" spans="1:17" ht="33.75" customHeight="1" x14ac:dyDescent="0.3">
      <c r="A155" s="29"/>
      <c r="B155" s="30"/>
      <c r="C155" s="31"/>
      <c r="D155" s="36"/>
      <c r="E155" s="38"/>
      <c r="F155" s="49"/>
      <c r="G155" s="40"/>
      <c r="H155" s="40"/>
      <c r="I155" s="40"/>
      <c r="J155" s="40"/>
      <c r="K155" s="40"/>
      <c r="L155" s="40"/>
      <c r="M155" s="40"/>
      <c r="N155" s="41"/>
      <c r="O155" s="40"/>
      <c r="P155" s="40"/>
      <c r="Q155" s="40"/>
    </row>
    <row r="156" spans="1:17" ht="33.75" customHeight="1" x14ac:dyDescent="0.3">
      <c r="A156" s="29"/>
      <c r="B156" s="30"/>
      <c r="C156" s="31"/>
      <c r="D156" s="36"/>
      <c r="E156" s="38"/>
      <c r="F156" s="49"/>
      <c r="G156" s="40"/>
      <c r="H156" s="40"/>
      <c r="I156" s="40"/>
      <c r="J156" s="40"/>
      <c r="K156" s="40"/>
      <c r="L156" s="40"/>
      <c r="M156" s="40"/>
      <c r="N156" s="41"/>
      <c r="O156" s="40"/>
      <c r="P156" s="40"/>
      <c r="Q156" s="40"/>
    </row>
    <row r="157" spans="1:17" ht="33.75" customHeight="1" x14ac:dyDescent="0.3">
      <c r="A157" s="29"/>
      <c r="B157" s="30"/>
      <c r="C157" s="31"/>
      <c r="D157" s="36"/>
      <c r="E157" s="48"/>
      <c r="F157" s="49"/>
      <c r="G157" s="59"/>
      <c r="H157" s="59"/>
      <c r="I157" s="59"/>
      <c r="J157" s="59"/>
      <c r="K157" s="59"/>
      <c r="L157" s="59"/>
      <c r="M157" s="57"/>
      <c r="N157" s="57"/>
      <c r="O157" s="59"/>
      <c r="P157" s="59"/>
      <c r="Q157" s="59"/>
    </row>
    <row r="158" spans="1:17" ht="33.75" customHeight="1" x14ac:dyDescent="0.3">
      <c r="A158" s="35"/>
      <c r="B158" s="36"/>
      <c r="C158" s="31"/>
      <c r="D158" s="36"/>
      <c r="E158" s="48"/>
      <c r="F158" s="49"/>
      <c r="G158" s="59"/>
      <c r="H158" s="59"/>
      <c r="I158" s="59"/>
      <c r="J158" s="59"/>
      <c r="K158" s="59"/>
      <c r="L158" s="59"/>
      <c r="M158" s="57"/>
      <c r="N158" s="57"/>
      <c r="O158" s="59"/>
      <c r="P158" s="59"/>
      <c r="Q158" s="59"/>
    </row>
    <row r="159" spans="1:17" ht="33.75" customHeight="1" x14ac:dyDescent="0.3">
      <c r="A159" s="35"/>
      <c r="B159" s="36"/>
      <c r="C159" s="31"/>
      <c r="D159" s="36"/>
      <c r="E159" s="48"/>
      <c r="F159" s="49"/>
      <c r="G159" s="59"/>
      <c r="H159" s="59"/>
      <c r="I159" s="59"/>
      <c r="J159" s="59"/>
      <c r="K159" s="59"/>
      <c r="L159" s="59"/>
      <c r="M159" s="57"/>
      <c r="N159" s="57"/>
      <c r="O159" s="59"/>
      <c r="P159" s="59"/>
      <c r="Q159" s="59"/>
    </row>
    <row r="160" spans="1:17" ht="33.75" customHeight="1" x14ac:dyDescent="0.3">
      <c r="A160" s="35"/>
      <c r="B160" s="36"/>
      <c r="C160" s="31"/>
      <c r="D160" s="36"/>
      <c r="E160" s="48"/>
      <c r="F160" s="49"/>
      <c r="G160" s="59"/>
      <c r="H160" s="59"/>
      <c r="I160" s="59"/>
      <c r="J160" s="59"/>
      <c r="K160" s="59"/>
      <c r="L160" s="59"/>
      <c r="M160" s="57"/>
      <c r="N160" s="57"/>
      <c r="O160" s="59"/>
      <c r="P160" s="59"/>
      <c r="Q160" s="59"/>
    </row>
    <row r="161" spans="1:17" ht="33.75" customHeight="1" x14ac:dyDescent="0.3">
      <c r="A161" s="35"/>
      <c r="B161" s="36"/>
      <c r="C161" s="31"/>
      <c r="D161" s="36"/>
      <c r="E161" s="48"/>
      <c r="F161" s="49"/>
      <c r="G161" s="59"/>
      <c r="H161" s="59"/>
      <c r="I161" s="59"/>
      <c r="J161" s="59"/>
      <c r="K161" s="59"/>
      <c r="L161" s="59"/>
      <c r="M161" s="57"/>
      <c r="N161" s="57"/>
      <c r="O161" s="59"/>
      <c r="P161" s="59"/>
      <c r="Q161" s="59"/>
    </row>
    <row r="162" spans="1:17" ht="33.75" customHeight="1" x14ac:dyDescent="0.3">
      <c r="A162" s="35"/>
      <c r="B162" s="36"/>
      <c r="C162" s="31"/>
      <c r="D162" s="36"/>
      <c r="E162" s="48"/>
      <c r="F162" s="49"/>
      <c r="G162" s="59"/>
      <c r="H162" s="59"/>
      <c r="I162" s="59"/>
      <c r="J162" s="59"/>
      <c r="K162" s="59"/>
      <c r="L162" s="59"/>
      <c r="M162" s="57"/>
      <c r="N162" s="57"/>
      <c r="O162" s="59"/>
      <c r="P162" s="59"/>
      <c r="Q162" s="59"/>
    </row>
    <row r="163" spans="1:17" ht="33.75" customHeight="1" x14ac:dyDescent="0.3">
      <c r="A163" s="35"/>
      <c r="B163" s="36"/>
      <c r="C163" s="31"/>
      <c r="D163" s="36"/>
      <c r="E163" s="48"/>
      <c r="F163" s="49"/>
      <c r="G163" s="59"/>
      <c r="H163" s="59"/>
      <c r="I163" s="59"/>
      <c r="J163" s="59"/>
      <c r="K163" s="59"/>
      <c r="L163" s="59"/>
      <c r="M163" s="57"/>
      <c r="N163" s="57"/>
      <c r="O163" s="59"/>
      <c r="P163" s="59"/>
      <c r="Q163" s="59"/>
    </row>
    <row r="164" spans="1:17" ht="33.75" customHeight="1" x14ac:dyDescent="0.3">
      <c r="A164" s="35"/>
      <c r="B164" s="36"/>
      <c r="C164" s="31"/>
      <c r="D164" s="36"/>
      <c r="E164" s="48"/>
      <c r="F164" s="49"/>
      <c r="G164" s="59"/>
      <c r="H164" s="59"/>
      <c r="I164" s="59"/>
      <c r="J164" s="59"/>
      <c r="K164" s="59"/>
      <c r="L164" s="59"/>
      <c r="M164" s="57"/>
      <c r="N164" s="57"/>
      <c r="O164" s="59"/>
      <c r="P164" s="59"/>
      <c r="Q164" s="59"/>
    </row>
    <row r="165" spans="1:17" ht="33.75" customHeight="1" x14ac:dyDescent="0.3">
      <c r="A165" s="35"/>
      <c r="B165" s="36"/>
      <c r="C165" s="31"/>
      <c r="D165" s="36"/>
      <c r="E165" s="48"/>
      <c r="F165" s="49"/>
      <c r="G165" s="59"/>
      <c r="H165" s="59"/>
      <c r="I165" s="59"/>
      <c r="J165" s="59"/>
      <c r="K165" s="59"/>
      <c r="L165" s="59"/>
      <c r="M165" s="57"/>
      <c r="N165" s="57"/>
      <c r="O165" s="59"/>
      <c r="P165" s="59"/>
      <c r="Q165" s="59"/>
    </row>
    <row r="166" spans="1:17" ht="33.75" customHeight="1" x14ac:dyDescent="0.3">
      <c r="A166" s="35"/>
      <c r="B166" s="36"/>
      <c r="C166" s="61"/>
      <c r="D166" s="36"/>
      <c r="E166" s="48"/>
      <c r="F166" s="49"/>
      <c r="G166" s="59"/>
      <c r="H166" s="59"/>
      <c r="I166" s="59"/>
      <c r="J166" s="59"/>
      <c r="K166" s="59"/>
      <c r="L166" s="59"/>
      <c r="M166" s="57"/>
      <c r="N166" s="57"/>
      <c r="O166" s="59"/>
      <c r="P166" s="59"/>
      <c r="Q166" s="59"/>
    </row>
    <row r="167" spans="1:17" ht="33.75" customHeight="1" x14ac:dyDescent="0.3">
      <c r="A167" s="35"/>
      <c r="B167" s="36"/>
      <c r="C167" s="31"/>
      <c r="D167" s="36"/>
      <c r="E167" s="48"/>
      <c r="F167" s="49"/>
      <c r="G167" s="59"/>
      <c r="H167" s="59"/>
      <c r="I167" s="59"/>
      <c r="J167" s="59"/>
      <c r="K167" s="59"/>
      <c r="L167" s="59"/>
      <c r="M167" s="57"/>
      <c r="N167" s="57"/>
      <c r="O167" s="59"/>
      <c r="P167" s="59"/>
      <c r="Q167" s="59"/>
    </row>
    <row r="168" spans="1:17" ht="33.75" customHeight="1" x14ac:dyDescent="0.3">
      <c r="A168" s="35"/>
      <c r="B168" s="36"/>
      <c r="C168" s="31"/>
      <c r="D168" s="36"/>
      <c r="E168" s="48"/>
      <c r="F168" s="49"/>
      <c r="G168" s="92"/>
      <c r="H168" s="92"/>
      <c r="I168" s="59"/>
      <c r="J168" s="59"/>
      <c r="K168" s="59"/>
      <c r="L168" s="59"/>
      <c r="M168" s="57"/>
      <c r="N168" s="57"/>
      <c r="O168" s="59"/>
      <c r="P168" s="59"/>
      <c r="Q168" s="59"/>
    </row>
    <row r="169" spans="1:17" ht="33.75" customHeight="1" x14ac:dyDescent="0.3">
      <c r="A169" s="35"/>
      <c r="B169" s="36"/>
      <c r="C169" s="31"/>
      <c r="D169" s="36"/>
      <c r="E169" s="48"/>
      <c r="F169" s="49"/>
      <c r="G169" s="59"/>
      <c r="H169" s="59"/>
      <c r="I169" s="59"/>
      <c r="J169" s="59"/>
      <c r="K169" s="59"/>
      <c r="L169" s="59"/>
      <c r="M169" s="57"/>
      <c r="N169" s="57"/>
      <c r="O169" s="59"/>
      <c r="P169" s="59"/>
      <c r="Q169" s="59"/>
    </row>
    <row r="170" spans="1:17" ht="33.75" customHeight="1" x14ac:dyDescent="0.3">
      <c r="A170" s="35"/>
      <c r="B170" s="36"/>
      <c r="C170" s="31"/>
      <c r="D170" s="36"/>
      <c r="E170" s="48"/>
      <c r="F170" s="49"/>
      <c r="G170" s="59"/>
      <c r="H170" s="59"/>
      <c r="I170" s="59"/>
      <c r="J170" s="59"/>
      <c r="K170" s="59"/>
      <c r="L170" s="59"/>
      <c r="M170" s="57"/>
      <c r="N170" s="57"/>
      <c r="O170" s="59"/>
      <c r="P170" s="59"/>
      <c r="Q170" s="59"/>
    </row>
    <row r="171" spans="1:17" ht="33.75" customHeight="1" x14ac:dyDescent="0.3">
      <c r="A171" s="35"/>
      <c r="B171" s="36"/>
      <c r="C171" s="31"/>
      <c r="D171" s="36"/>
      <c r="E171" s="48"/>
      <c r="F171" s="49"/>
      <c r="G171" s="59"/>
      <c r="H171" s="59"/>
      <c r="I171" s="59"/>
      <c r="J171" s="59"/>
      <c r="K171" s="59"/>
      <c r="L171" s="59"/>
      <c r="M171" s="57"/>
      <c r="N171" s="57"/>
      <c r="O171" s="59"/>
      <c r="P171" s="59"/>
      <c r="Q171" s="59"/>
    </row>
    <row r="172" spans="1:17" ht="33.75" customHeight="1" x14ac:dyDescent="0.3">
      <c r="A172" s="35"/>
      <c r="B172" s="36"/>
      <c r="C172" s="31"/>
      <c r="D172" s="36"/>
      <c r="E172" s="48"/>
      <c r="F172" s="49"/>
      <c r="G172" s="59"/>
      <c r="H172" s="59"/>
      <c r="I172" s="59"/>
      <c r="J172" s="59"/>
      <c r="K172" s="59"/>
      <c r="L172" s="59"/>
      <c r="M172" s="57"/>
      <c r="N172" s="57"/>
      <c r="O172" s="59"/>
      <c r="P172" s="59"/>
      <c r="Q172" s="59"/>
    </row>
    <row r="173" spans="1:17" ht="33.75" customHeight="1" x14ac:dyDescent="0.3">
      <c r="A173" s="35"/>
      <c r="B173" s="36"/>
      <c r="C173" s="31"/>
      <c r="D173" s="36"/>
      <c r="E173" s="48"/>
      <c r="F173" s="49"/>
      <c r="G173" s="59"/>
      <c r="H173" s="59"/>
      <c r="I173" s="59"/>
      <c r="J173" s="59"/>
      <c r="K173" s="59"/>
      <c r="L173" s="59"/>
      <c r="M173" s="57"/>
      <c r="N173" s="57"/>
      <c r="O173" s="59"/>
      <c r="P173" s="59"/>
      <c r="Q173" s="59"/>
    </row>
    <row r="174" spans="1:17" ht="33.75" customHeight="1" x14ac:dyDescent="0.3">
      <c r="A174" s="35"/>
      <c r="B174" s="36"/>
      <c r="C174" s="31"/>
      <c r="D174" s="36"/>
      <c r="E174" s="48"/>
      <c r="F174" s="49"/>
      <c r="G174" s="59"/>
      <c r="H174" s="59"/>
      <c r="I174" s="59"/>
      <c r="J174" s="59"/>
      <c r="K174" s="59"/>
      <c r="L174" s="59"/>
      <c r="M174" s="57"/>
      <c r="N174" s="57"/>
      <c r="O174" s="59"/>
      <c r="P174" s="59"/>
      <c r="Q174" s="59"/>
    </row>
    <row r="175" spans="1:17" ht="33.75" customHeight="1" x14ac:dyDescent="0.3">
      <c r="A175" s="35"/>
      <c r="B175" s="36"/>
      <c r="C175" s="31"/>
      <c r="D175" s="36"/>
      <c r="E175" s="48"/>
      <c r="F175" s="49"/>
      <c r="G175" s="59"/>
      <c r="H175" s="59"/>
      <c r="I175" s="59"/>
      <c r="J175" s="59"/>
      <c r="K175" s="59"/>
      <c r="L175" s="59"/>
      <c r="M175" s="57"/>
      <c r="N175" s="57"/>
      <c r="O175" s="59"/>
      <c r="P175" s="59"/>
      <c r="Q175" s="59"/>
    </row>
    <row r="176" spans="1:17" ht="33.75" customHeight="1" x14ac:dyDescent="0.3">
      <c r="A176" s="35"/>
      <c r="B176" s="36"/>
      <c r="C176" s="31"/>
      <c r="D176" s="36"/>
      <c r="E176" s="48"/>
      <c r="F176" s="49"/>
      <c r="G176" s="59"/>
      <c r="H176" s="59"/>
      <c r="I176" s="59"/>
      <c r="J176" s="59"/>
      <c r="K176" s="59"/>
      <c r="L176" s="59"/>
      <c r="M176" s="57"/>
      <c r="N176" s="57"/>
      <c r="O176" s="59"/>
      <c r="P176" s="59"/>
      <c r="Q176" s="59"/>
    </row>
    <row r="177" spans="1:17" ht="33.75" customHeight="1" x14ac:dyDescent="0.3">
      <c r="A177" s="35"/>
      <c r="B177" s="36"/>
      <c r="C177" s="31"/>
      <c r="D177" s="36"/>
      <c r="E177" s="48"/>
      <c r="F177" s="49"/>
      <c r="G177" s="59"/>
      <c r="H177" s="59"/>
      <c r="I177" s="59"/>
      <c r="J177" s="59"/>
      <c r="K177" s="59"/>
      <c r="L177" s="59"/>
      <c r="M177" s="57"/>
      <c r="N177" s="57"/>
      <c r="O177" s="59"/>
      <c r="P177" s="59"/>
      <c r="Q177" s="59"/>
    </row>
    <row r="178" spans="1:17" ht="33.75" customHeight="1" x14ac:dyDescent="0.3">
      <c r="A178" s="35"/>
      <c r="B178" s="36"/>
      <c r="C178" s="31"/>
      <c r="D178" s="36"/>
      <c r="E178" s="48"/>
      <c r="F178" s="49"/>
      <c r="G178" s="59"/>
      <c r="H178" s="59"/>
      <c r="I178" s="59"/>
      <c r="J178" s="59"/>
      <c r="K178" s="59"/>
      <c r="L178" s="59"/>
      <c r="M178" s="57"/>
      <c r="N178" s="57"/>
      <c r="O178" s="59"/>
      <c r="P178" s="59"/>
      <c r="Q178" s="59"/>
    </row>
    <row r="179" spans="1:17" ht="33.75" customHeight="1" x14ac:dyDescent="0.3">
      <c r="A179" s="35"/>
      <c r="B179" s="36"/>
      <c r="C179" s="31"/>
      <c r="D179" s="36"/>
      <c r="E179" s="48"/>
      <c r="F179" s="49"/>
      <c r="G179" s="59"/>
      <c r="H179" s="59"/>
      <c r="I179" s="59"/>
      <c r="J179" s="59"/>
      <c r="K179" s="59"/>
      <c r="L179" s="59"/>
      <c r="M179" s="57"/>
      <c r="N179" s="57"/>
      <c r="O179" s="59"/>
      <c r="P179" s="59"/>
      <c r="Q179" s="59"/>
    </row>
    <row r="180" spans="1:17" ht="33.75" customHeight="1" x14ac:dyDescent="0.3">
      <c r="A180" s="35"/>
      <c r="B180" s="36"/>
      <c r="C180" s="31"/>
      <c r="D180" s="36"/>
      <c r="E180" s="48"/>
      <c r="F180" s="49"/>
      <c r="G180" s="59"/>
      <c r="H180" s="59"/>
      <c r="I180" s="59"/>
      <c r="J180" s="59"/>
      <c r="K180" s="59"/>
      <c r="L180" s="59"/>
      <c r="M180" s="57"/>
      <c r="N180" s="57"/>
      <c r="O180" s="59"/>
      <c r="P180" s="59"/>
      <c r="Q180" s="59"/>
    </row>
    <row r="181" spans="1:17" ht="33.75" customHeight="1" x14ac:dyDescent="0.3">
      <c r="A181" s="35"/>
      <c r="B181" s="36"/>
      <c r="C181" s="31"/>
      <c r="D181" s="36"/>
      <c r="E181" s="48"/>
      <c r="F181" s="49"/>
      <c r="G181" s="59"/>
      <c r="H181" s="59"/>
      <c r="I181" s="59"/>
      <c r="J181" s="59"/>
      <c r="K181" s="59"/>
      <c r="L181" s="59"/>
      <c r="M181" s="57"/>
      <c r="N181" s="57"/>
      <c r="O181" s="59"/>
      <c r="P181" s="59"/>
      <c r="Q181" s="59"/>
    </row>
    <row r="182" spans="1:17" ht="33.75" customHeight="1" x14ac:dyDescent="0.3">
      <c r="A182" s="35"/>
      <c r="B182" s="36"/>
      <c r="C182" s="31"/>
      <c r="D182" s="36"/>
      <c r="E182" s="48"/>
      <c r="F182" s="49"/>
      <c r="G182" s="59"/>
      <c r="H182" s="59"/>
      <c r="I182" s="59"/>
      <c r="J182" s="59"/>
      <c r="K182" s="59"/>
      <c r="L182" s="59"/>
      <c r="M182" s="57"/>
      <c r="N182" s="57"/>
      <c r="O182" s="59"/>
      <c r="P182" s="59"/>
      <c r="Q182" s="59"/>
    </row>
    <row r="183" spans="1:17" ht="33.75" customHeight="1" x14ac:dyDescent="0.3">
      <c r="A183" s="35"/>
      <c r="B183" s="36"/>
      <c r="C183" s="31"/>
      <c r="D183" s="36"/>
      <c r="E183" s="48"/>
      <c r="F183" s="49"/>
      <c r="G183" s="59"/>
      <c r="H183" s="59"/>
      <c r="I183" s="59"/>
      <c r="J183" s="59"/>
      <c r="K183" s="59"/>
      <c r="L183" s="59"/>
      <c r="M183" s="57"/>
      <c r="N183" s="57"/>
      <c r="O183" s="59"/>
      <c r="P183" s="59"/>
      <c r="Q183" s="59"/>
    </row>
    <row r="184" spans="1:17" ht="33.75" customHeight="1" x14ac:dyDescent="0.3">
      <c r="A184" s="35"/>
      <c r="B184" s="36"/>
      <c r="C184" s="31"/>
      <c r="D184" s="36"/>
      <c r="E184" s="48"/>
      <c r="F184" s="49"/>
      <c r="G184" s="59"/>
      <c r="H184" s="59"/>
      <c r="I184" s="59"/>
      <c r="J184" s="59"/>
      <c r="K184" s="59"/>
      <c r="L184" s="59"/>
      <c r="M184" s="57"/>
      <c r="N184" s="57"/>
      <c r="O184" s="59"/>
      <c r="P184" s="59"/>
      <c r="Q184" s="59"/>
    </row>
    <row r="185" spans="1:17" ht="33.75" customHeight="1" x14ac:dyDescent="0.3">
      <c r="A185" s="35"/>
      <c r="B185" s="36"/>
      <c r="C185" s="31"/>
      <c r="D185" s="36"/>
      <c r="E185" s="48"/>
      <c r="F185" s="49"/>
      <c r="G185" s="59"/>
      <c r="H185" s="59"/>
      <c r="I185" s="59"/>
      <c r="J185" s="59"/>
      <c r="K185" s="59"/>
      <c r="L185" s="59"/>
      <c r="M185" s="57"/>
      <c r="N185" s="57"/>
      <c r="O185" s="59"/>
      <c r="P185" s="59"/>
      <c r="Q185" s="59"/>
    </row>
    <row r="186" spans="1:17" ht="33.75" customHeight="1" x14ac:dyDescent="0.3">
      <c r="A186" s="35"/>
      <c r="B186" s="36"/>
      <c r="C186" s="31"/>
      <c r="D186" s="36"/>
      <c r="E186" s="48"/>
      <c r="F186" s="49"/>
      <c r="G186" s="59"/>
      <c r="H186" s="59"/>
      <c r="I186" s="59"/>
      <c r="J186" s="59"/>
      <c r="K186" s="59"/>
      <c r="L186" s="59"/>
      <c r="M186" s="57"/>
      <c r="N186" s="57"/>
      <c r="O186" s="59"/>
      <c r="P186" s="59"/>
      <c r="Q186" s="59"/>
    </row>
    <row r="187" spans="1:17" ht="33.75" customHeight="1" x14ac:dyDescent="0.3">
      <c r="A187" s="35"/>
      <c r="B187" s="36"/>
      <c r="C187" s="31"/>
      <c r="D187" s="36"/>
      <c r="E187" s="48"/>
      <c r="F187" s="49"/>
      <c r="G187" s="59"/>
      <c r="H187" s="59"/>
      <c r="I187" s="59"/>
      <c r="J187" s="59"/>
      <c r="K187" s="59"/>
      <c r="L187" s="59"/>
      <c r="M187" s="57"/>
      <c r="N187" s="57"/>
      <c r="O187" s="59"/>
      <c r="P187" s="59"/>
      <c r="Q187" s="59"/>
    </row>
    <row r="188" spans="1:17" ht="33.75" customHeight="1" x14ac:dyDescent="0.3">
      <c r="A188" s="35"/>
      <c r="B188" s="36"/>
      <c r="C188" s="31"/>
      <c r="D188" s="36"/>
      <c r="E188" s="48"/>
      <c r="F188" s="49"/>
      <c r="G188" s="59"/>
      <c r="H188" s="59"/>
      <c r="I188" s="59"/>
      <c r="J188" s="59"/>
      <c r="K188" s="59"/>
      <c r="L188" s="59"/>
      <c r="M188" s="57"/>
      <c r="N188" s="57"/>
      <c r="O188" s="59"/>
      <c r="P188" s="59"/>
      <c r="Q188" s="59"/>
    </row>
    <row r="189" spans="1:17" ht="33.75" customHeight="1" x14ac:dyDescent="0.3">
      <c r="A189" s="35"/>
      <c r="B189" s="36"/>
      <c r="C189" s="31"/>
      <c r="D189" s="36"/>
      <c r="E189" s="48"/>
      <c r="F189" s="49"/>
      <c r="G189" s="59"/>
      <c r="H189" s="59"/>
      <c r="I189" s="59"/>
      <c r="J189" s="59"/>
      <c r="K189" s="59"/>
      <c r="L189" s="59"/>
      <c r="M189" s="57"/>
      <c r="N189" s="57"/>
      <c r="O189" s="59"/>
      <c r="P189" s="59"/>
      <c r="Q189" s="59"/>
    </row>
    <row r="190" spans="1:17" ht="33.75" customHeight="1" x14ac:dyDescent="0.3">
      <c r="A190" s="35"/>
      <c r="B190" s="36"/>
      <c r="C190" s="31"/>
      <c r="D190" s="36"/>
      <c r="E190" s="48"/>
      <c r="F190" s="49"/>
      <c r="G190" s="59"/>
      <c r="H190" s="59"/>
      <c r="I190" s="59"/>
      <c r="J190" s="59"/>
      <c r="K190" s="59"/>
      <c r="L190" s="59"/>
      <c r="M190" s="57"/>
      <c r="N190" s="57"/>
      <c r="O190" s="59"/>
      <c r="P190" s="59"/>
      <c r="Q190" s="59"/>
    </row>
    <row r="191" spans="1:17" ht="33.75" customHeight="1" x14ac:dyDescent="0.3">
      <c r="A191" s="35"/>
      <c r="B191" s="36"/>
      <c r="C191" s="31"/>
      <c r="D191" s="36"/>
      <c r="E191" s="48"/>
      <c r="F191" s="49"/>
      <c r="G191" s="59"/>
      <c r="H191" s="59"/>
      <c r="I191" s="59"/>
      <c r="J191" s="59"/>
      <c r="K191" s="59"/>
      <c r="L191" s="59"/>
      <c r="M191" s="57"/>
      <c r="N191" s="57"/>
      <c r="O191" s="59"/>
      <c r="P191" s="59"/>
      <c r="Q191" s="59"/>
    </row>
    <row r="192" spans="1:17" ht="33.75" customHeight="1" x14ac:dyDescent="0.3">
      <c r="A192" s="35"/>
      <c r="B192" s="36"/>
      <c r="C192" s="42"/>
      <c r="D192" s="36"/>
      <c r="E192" s="38"/>
      <c r="F192" s="32"/>
      <c r="G192" s="40"/>
      <c r="H192" s="40"/>
      <c r="I192" s="40"/>
      <c r="J192" s="40"/>
      <c r="K192" s="40"/>
      <c r="L192" s="40"/>
      <c r="M192" s="40"/>
      <c r="N192" s="41"/>
      <c r="O192" s="40"/>
      <c r="P192" s="40"/>
      <c r="Q192" s="40"/>
    </row>
  </sheetData>
  <mergeCells count="21">
    <mergeCell ref="O5:P5"/>
    <mergeCell ref="O4:P4"/>
    <mergeCell ref="E1:E5"/>
    <mergeCell ref="G1:H1"/>
    <mergeCell ref="I1:J1"/>
    <mergeCell ref="K1:L1"/>
    <mergeCell ref="M1:N1"/>
    <mergeCell ref="G5:H5"/>
    <mergeCell ref="I5:J5"/>
    <mergeCell ref="K5:L5"/>
    <mergeCell ref="M5:N5"/>
    <mergeCell ref="M4:N4"/>
    <mergeCell ref="K4:L4"/>
    <mergeCell ref="I4:J4"/>
    <mergeCell ref="G4:H4"/>
    <mergeCell ref="O1:P1"/>
    <mergeCell ref="G2:H2"/>
    <mergeCell ref="I2:J2"/>
    <mergeCell ref="K2:L2"/>
    <mergeCell ref="M2:N2"/>
    <mergeCell ref="O2:P2"/>
  </mergeCells>
  <phoneticPr fontId="15" type="noConversion"/>
  <pageMargins left="0.12" right="0.2" top="0.16" bottom="0.13" header="0.16" footer="0.13"/>
  <pageSetup paperSize="9" scale="37" orientation="landscape" horizontalDpi="4294967293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'COMPTE ET NUMERO A DEBITER'!$A$3:$A$280</xm:f>
          </x14:formula1>
          <xm:sqref>C7:C192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4"/>
  <sheetViews>
    <sheetView view="pageBreakPreview" zoomScale="53" zoomScaleNormal="75" zoomScaleSheetLayoutView="53" workbookViewId="0">
      <pane xSplit="16" ySplit="5" topLeftCell="AT60" activePane="bottomRight" state="frozen"/>
      <selection pane="topRight" activeCell="P1" sqref="P1"/>
      <selection pane="bottomLeft" activeCell="A5" sqref="A5"/>
      <selection pane="bottomRight" activeCell="AT125" sqref="AT125"/>
    </sheetView>
  </sheetViews>
  <sheetFormatPr baseColWidth="10" defaultRowHeight="18" x14ac:dyDescent="0.3"/>
  <cols>
    <col min="1" max="1" width="14.33203125" style="62" customWidth="1"/>
    <col min="2" max="2" width="12.5546875" style="3" customWidth="1"/>
    <col min="3" max="3" width="17" style="3" customWidth="1"/>
    <col min="4" max="4" width="12.5546875" style="3" customWidth="1"/>
    <col min="5" max="5" width="44.44140625" style="63" customWidth="1"/>
    <col min="6" max="6" width="15.88671875" style="14" customWidth="1"/>
    <col min="7" max="7" width="16.6640625" customWidth="1"/>
    <col min="8" max="8" width="18.33203125" customWidth="1"/>
    <col min="9" max="9" width="17.33203125" customWidth="1"/>
    <col min="10" max="10" width="20.5546875" customWidth="1"/>
    <col min="11" max="12" width="16.6640625" customWidth="1"/>
    <col min="13" max="16" width="20" customWidth="1"/>
    <col min="17" max="17" width="24.6640625" customWidth="1"/>
    <col min="18" max="18" width="19.77734375" customWidth="1"/>
    <col min="19" max="20" width="21.77734375" customWidth="1"/>
    <col min="21" max="21" width="18.77734375" customWidth="1"/>
    <col min="22" max="56" width="25.5546875" customWidth="1"/>
  </cols>
  <sheetData>
    <row r="1" spans="1:57" s="2" customFormat="1" ht="25.2" customHeight="1" x14ac:dyDescent="0.3">
      <c r="A1" s="142" t="s">
        <v>163</v>
      </c>
      <c r="B1" s="143"/>
      <c r="C1" s="143"/>
      <c r="D1" s="143"/>
      <c r="E1" s="143"/>
      <c r="F1" s="143"/>
      <c r="G1" s="143"/>
      <c r="H1" s="144"/>
      <c r="I1" s="89" t="s">
        <v>160</v>
      </c>
      <c r="J1" s="86" t="s">
        <v>161</v>
      </c>
      <c r="K1" s="86" t="s">
        <v>162</v>
      </c>
      <c r="L1" s="90" t="s">
        <v>159</v>
      </c>
      <c r="M1" s="118" t="s">
        <v>158</v>
      </c>
      <c r="N1" s="119"/>
      <c r="O1" s="136" t="s">
        <v>105</v>
      </c>
      <c r="P1" s="137"/>
      <c r="Q1" s="93">
        <v>350000000</v>
      </c>
      <c r="R1" s="93"/>
      <c r="S1" s="93">
        <v>1540000</v>
      </c>
      <c r="T1" s="93"/>
      <c r="U1" s="93"/>
      <c r="V1" s="93">
        <v>120000000</v>
      </c>
      <c r="W1" s="93">
        <v>7000000</v>
      </c>
      <c r="X1" s="93">
        <v>3000000</v>
      </c>
      <c r="Y1" s="93">
        <v>400000</v>
      </c>
      <c r="Z1" s="93">
        <v>700000</v>
      </c>
      <c r="AA1" s="93">
        <v>25500000</v>
      </c>
      <c r="AB1" s="93">
        <v>1200000</v>
      </c>
      <c r="AC1" s="93">
        <v>13000000</v>
      </c>
      <c r="AD1" s="93">
        <v>2000000</v>
      </c>
      <c r="AE1" s="93">
        <v>3500000</v>
      </c>
      <c r="AF1" s="93">
        <v>400000</v>
      </c>
      <c r="AG1" s="93">
        <v>750000</v>
      </c>
      <c r="AH1" s="93">
        <v>750000</v>
      </c>
      <c r="AI1" s="93">
        <v>750000</v>
      </c>
      <c r="AJ1" s="93">
        <v>500000</v>
      </c>
      <c r="AK1" s="93">
        <v>300000</v>
      </c>
      <c r="AL1" s="93"/>
      <c r="AM1" s="93">
        <v>900000</v>
      </c>
      <c r="AN1" s="93">
        <v>2000000</v>
      </c>
      <c r="AO1" s="93">
        <v>13015000</v>
      </c>
      <c r="AP1" s="93">
        <v>1500000</v>
      </c>
      <c r="AQ1" s="93"/>
      <c r="AR1" s="93">
        <v>4000000</v>
      </c>
      <c r="AS1" s="93">
        <v>500000</v>
      </c>
      <c r="AT1" s="93">
        <v>750000</v>
      </c>
      <c r="AU1" s="93">
        <v>3000000</v>
      </c>
      <c r="AV1" s="93">
        <v>11000000</v>
      </c>
      <c r="AW1" s="93">
        <v>500000</v>
      </c>
      <c r="AX1" s="93">
        <v>500000</v>
      </c>
      <c r="AY1" s="93">
        <v>45000000</v>
      </c>
      <c r="AZ1" s="93">
        <v>103000000</v>
      </c>
      <c r="BA1" s="93">
        <v>14300000</v>
      </c>
      <c r="BB1" s="93"/>
      <c r="BC1" s="93"/>
      <c r="BD1" s="93"/>
    </row>
    <row r="2" spans="1:57" s="2" customFormat="1" ht="25.2" customHeight="1" x14ac:dyDescent="0.3">
      <c r="A2" s="145"/>
      <c r="B2" s="146"/>
      <c r="C2" s="146"/>
      <c r="D2" s="146"/>
      <c r="E2" s="146"/>
      <c r="F2" s="146"/>
      <c r="G2" s="146"/>
      <c r="H2" s="147"/>
      <c r="I2" s="87" t="s">
        <v>107</v>
      </c>
      <c r="J2" s="84">
        <f>SUM(Q1:U1)</f>
        <v>351540000</v>
      </c>
      <c r="K2" s="84">
        <f>SUM(Q5:U5)</f>
        <v>15621978.469999999</v>
      </c>
      <c r="L2" s="91">
        <f>K2/J2</f>
        <v>4.4438693946634807E-2</v>
      </c>
      <c r="M2" s="120"/>
      <c r="N2" s="121"/>
      <c r="O2" s="138" t="s">
        <v>156</v>
      </c>
      <c r="P2" s="139"/>
      <c r="Q2" s="94">
        <f>IFERROR(Q5/Q1,"")</f>
        <v>4.4531367057142855E-2</v>
      </c>
      <c r="R2" s="94" t="str">
        <f t="shared" ref="R2:BD2" si="0">IFERROR(R5/R1,"")</f>
        <v/>
      </c>
      <c r="S2" s="94">
        <f t="shared" si="0"/>
        <v>0</v>
      </c>
      <c r="T2" s="94" t="str">
        <f t="shared" si="0"/>
        <v/>
      </c>
      <c r="U2" s="94" t="str">
        <f t="shared" si="0"/>
        <v/>
      </c>
      <c r="V2" s="94">
        <f t="shared" si="0"/>
        <v>0</v>
      </c>
      <c r="W2" s="94">
        <f t="shared" si="0"/>
        <v>0</v>
      </c>
      <c r="X2" s="94">
        <f t="shared" si="0"/>
        <v>0</v>
      </c>
      <c r="Y2" s="94">
        <f t="shared" si="0"/>
        <v>0</v>
      </c>
      <c r="Z2" s="94">
        <f t="shared" si="0"/>
        <v>0.38285714285714284</v>
      </c>
      <c r="AA2" s="94">
        <f t="shared" si="0"/>
        <v>0</v>
      </c>
      <c r="AB2" s="94">
        <f t="shared" si="0"/>
        <v>0</v>
      </c>
      <c r="AC2" s="94">
        <f t="shared" si="0"/>
        <v>0</v>
      </c>
      <c r="AD2" s="94">
        <f t="shared" si="0"/>
        <v>0</v>
      </c>
      <c r="AE2" s="94">
        <f t="shared" si="0"/>
        <v>0</v>
      </c>
      <c r="AF2" s="94">
        <f t="shared" si="0"/>
        <v>1.7500000000000002E-2</v>
      </c>
      <c r="AG2" s="94">
        <f t="shared" si="0"/>
        <v>0</v>
      </c>
      <c r="AH2" s="94">
        <f t="shared" si="0"/>
        <v>0.108</v>
      </c>
      <c r="AI2" s="94">
        <f t="shared" si="0"/>
        <v>0</v>
      </c>
      <c r="AJ2" s="94">
        <f t="shared" si="0"/>
        <v>0</v>
      </c>
      <c r="AK2" s="94">
        <f t="shared" si="0"/>
        <v>2</v>
      </c>
      <c r="AL2" s="94" t="str">
        <f t="shared" si="0"/>
        <v/>
      </c>
      <c r="AM2" s="94">
        <f t="shared" si="0"/>
        <v>0</v>
      </c>
      <c r="AN2" s="94">
        <f t="shared" si="0"/>
        <v>1.0415840000000001</v>
      </c>
      <c r="AO2" s="94">
        <f t="shared" si="0"/>
        <v>0.12101421436803687</v>
      </c>
      <c r="AP2" s="94">
        <f t="shared" si="0"/>
        <v>0</v>
      </c>
      <c r="AQ2" s="94" t="str">
        <f t="shared" si="0"/>
        <v/>
      </c>
      <c r="AR2" s="94">
        <f t="shared" si="0"/>
        <v>0</v>
      </c>
      <c r="AS2" s="94">
        <f t="shared" si="0"/>
        <v>0.192</v>
      </c>
      <c r="AT2" s="94">
        <f t="shared" si="0"/>
        <v>0.17666666666666667</v>
      </c>
      <c r="AU2" s="94">
        <f t="shared" si="0"/>
        <v>9.3333333333333338E-2</v>
      </c>
      <c r="AV2" s="94">
        <f t="shared" si="0"/>
        <v>0</v>
      </c>
      <c r="AW2" s="94">
        <f t="shared" si="0"/>
        <v>0</v>
      </c>
      <c r="AX2" s="94">
        <f t="shared" si="0"/>
        <v>0</v>
      </c>
      <c r="AY2" s="94">
        <f t="shared" si="0"/>
        <v>0</v>
      </c>
      <c r="AZ2" s="94">
        <f t="shared" si="0"/>
        <v>0</v>
      </c>
      <c r="BA2" s="94">
        <f t="shared" si="0"/>
        <v>0</v>
      </c>
      <c r="BB2" s="94" t="str">
        <f t="shared" si="0"/>
        <v/>
      </c>
      <c r="BC2" s="94" t="str">
        <f t="shared" si="0"/>
        <v/>
      </c>
      <c r="BD2" s="94" t="str">
        <f t="shared" si="0"/>
        <v/>
      </c>
    </row>
    <row r="3" spans="1:57" s="2" customFormat="1" ht="25.2" customHeight="1" thickBot="1" x14ac:dyDescent="0.35">
      <c r="A3" s="148"/>
      <c r="B3" s="149"/>
      <c r="C3" s="149"/>
      <c r="D3" s="149"/>
      <c r="E3" s="149"/>
      <c r="F3" s="149"/>
      <c r="G3" s="149"/>
      <c r="H3" s="150"/>
      <c r="I3" s="88" t="s">
        <v>148</v>
      </c>
      <c r="J3" s="85">
        <f>SUM(V1:BD1)</f>
        <v>379715000</v>
      </c>
      <c r="K3" s="85">
        <f>SUM(V5:BD5)</f>
        <v>5254009.45</v>
      </c>
      <c r="L3" s="91">
        <f>K3/J3</f>
        <v>1.3836718196542143E-2</v>
      </c>
      <c r="M3" s="122"/>
      <c r="N3" s="123"/>
      <c r="O3" s="140" t="s">
        <v>157</v>
      </c>
      <c r="P3" s="141"/>
      <c r="Q3" s="95">
        <f>Q1-Q5</f>
        <v>334414021.52999997</v>
      </c>
      <c r="R3" s="95">
        <f>R1-R5</f>
        <v>-36000</v>
      </c>
      <c r="S3" s="95">
        <f t="shared" ref="S3:BD3" si="1">S1-S5</f>
        <v>1540000</v>
      </c>
      <c r="T3" s="95"/>
      <c r="U3" s="96">
        <f t="shared" si="1"/>
        <v>0</v>
      </c>
      <c r="V3" s="96">
        <f t="shared" si="1"/>
        <v>120000000</v>
      </c>
      <c r="W3" s="96">
        <f t="shared" si="1"/>
        <v>7000000</v>
      </c>
      <c r="X3" s="96">
        <f t="shared" si="1"/>
        <v>3000000</v>
      </c>
      <c r="Y3" s="96">
        <f t="shared" si="1"/>
        <v>400000</v>
      </c>
      <c r="Z3" s="96">
        <f t="shared" si="1"/>
        <v>432000</v>
      </c>
      <c r="AA3" s="96">
        <f t="shared" si="1"/>
        <v>25500000</v>
      </c>
      <c r="AB3" s="96">
        <f t="shared" si="1"/>
        <v>1200000</v>
      </c>
      <c r="AC3" s="96">
        <f t="shared" si="1"/>
        <v>13000000</v>
      </c>
      <c r="AD3" s="96">
        <f t="shared" si="1"/>
        <v>2000000</v>
      </c>
      <c r="AE3" s="96">
        <f t="shared" si="1"/>
        <v>3500000</v>
      </c>
      <c r="AF3" s="96">
        <f t="shared" si="1"/>
        <v>393000</v>
      </c>
      <c r="AG3" s="96">
        <f t="shared" si="1"/>
        <v>750000</v>
      </c>
      <c r="AH3" s="96">
        <f t="shared" si="1"/>
        <v>669000</v>
      </c>
      <c r="AI3" s="96">
        <f t="shared" si="1"/>
        <v>750000</v>
      </c>
      <c r="AJ3" s="96">
        <f t="shared" si="1"/>
        <v>500000</v>
      </c>
      <c r="AK3" s="96">
        <f t="shared" si="1"/>
        <v>-300000</v>
      </c>
      <c r="AL3" s="96">
        <f t="shared" si="1"/>
        <v>0</v>
      </c>
      <c r="AM3" s="96">
        <f t="shared" si="1"/>
        <v>900000</v>
      </c>
      <c r="AN3" s="96">
        <f t="shared" si="1"/>
        <v>-83168</v>
      </c>
      <c r="AO3" s="96">
        <f t="shared" si="1"/>
        <v>11440000</v>
      </c>
      <c r="AP3" s="96">
        <f t="shared" si="1"/>
        <v>1500000</v>
      </c>
      <c r="AQ3" s="96">
        <f t="shared" si="1"/>
        <v>0</v>
      </c>
      <c r="AR3" s="96">
        <f t="shared" si="1"/>
        <v>4000000</v>
      </c>
      <c r="AS3" s="96">
        <f t="shared" si="1"/>
        <v>404000</v>
      </c>
      <c r="AT3" s="96">
        <f t="shared" si="1"/>
        <v>617500</v>
      </c>
      <c r="AU3" s="96">
        <f t="shared" si="1"/>
        <v>2720000</v>
      </c>
      <c r="AV3" s="96">
        <f t="shared" si="1"/>
        <v>11000000</v>
      </c>
      <c r="AW3" s="96">
        <f t="shared" si="1"/>
        <v>500000</v>
      </c>
      <c r="AX3" s="96">
        <f t="shared" si="1"/>
        <v>500000</v>
      </c>
      <c r="AY3" s="96">
        <f t="shared" si="1"/>
        <v>45000000</v>
      </c>
      <c r="AZ3" s="96">
        <f t="shared" si="1"/>
        <v>103000000</v>
      </c>
      <c r="BA3" s="96">
        <f t="shared" si="1"/>
        <v>14300000</v>
      </c>
      <c r="BB3" s="96">
        <f t="shared" si="1"/>
        <v>-131341.45000000001</v>
      </c>
      <c r="BC3" s="96">
        <f t="shared" si="1"/>
        <v>0</v>
      </c>
      <c r="BD3" s="96">
        <f t="shared" si="1"/>
        <v>0</v>
      </c>
    </row>
    <row r="4" spans="1:57" s="3" customFormat="1" ht="42" customHeight="1" x14ac:dyDescent="0.3">
      <c r="A4" s="128" t="s">
        <v>0</v>
      </c>
      <c r="B4" s="129" t="s">
        <v>1</v>
      </c>
      <c r="C4" s="130" t="s">
        <v>2</v>
      </c>
      <c r="D4" s="132" t="s">
        <v>134</v>
      </c>
      <c r="E4" s="132" t="s">
        <v>3</v>
      </c>
      <c r="F4" s="133" t="s">
        <v>135</v>
      </c>
      <c r="G4" s="134" t="s">
        <v>17</v>
      </c>
      <c r="H4" s="134"/>
      <c r="I4" s="135" t="s">
        <v>112</v>
      </c>
      <c r="J4" s="135"/>
      <c r="K4" s="124" t="s">
        <v>113</v>
      </c>
      <c r="L4" s="124"/>
      <c r="M4" s="125" t="s">
        <v>136</v>
      </c>
      <c r="N4" s="125"/>
      <c r="O4" s="126" t="s">
        <v>137</v>
      </c>
      <c r="P4" s="127"/>
      <c r="Q4" s="99" t="s">
        <v>21</v>
      </c>
      <c r="R4" s="99" t="s">
        <v>29</v>
      </c>
      <c r="S4" s="99" t="s">
        <v>31</v>
      </c>
      <c r="T4" s="99" t="s">
        <v>171</v>
      </c>
      <c r="U4" s="99" t="s">
        <v>22</v>
      </c>
      <c r="V4" s="49" t="s">
        <v>23</v>
      </c>
      <c r="W4" s="49" t="s">
        <v>149</v>
      </c>
      <c r="X4" s="49" t="s">
        <v>150</v>
      </c>
      <c r="Y4" s="49" t="s">
        <v>30</v>
      </c>
      <c r="Z4" s="49" t="s">
        <v>151</v>
      </c>
      <c r="AA4" s="49" t="s">
        <v>69</v>
      </c>
      <c r="AB4" s="49" t="s">
        <v>141</v>
      </c>
      <c r="AC4" s="49" t="s">
        <v>116</v>
      </c>
      <c r="AD4" s="49" t="s">
        <v>27</v>
      </c>
      <c r="AE4" s="49" t="s">
        <v>138</v>
      </c>
      <c r="AF4" s="49" t="s">
        <v>139</v>
      </c>
      <c r="AG4" s="49" t="s">
        <v>140</v>
      </c>
      <c r="AH4" s="49" t="s">
        <v>26</v>
      </c>
      <c r="AI4" s="49" t="s">
        <v>46</v>
      </c>
      <c r="AJ4" s="49" t="s">
        <v>67</v>
      </c>
      <c r="AK4" s="49" t="s">
        <v>152</v>
      </c>
      <c r="AL4" s="49" t="s">
        <v>144</v>
      </c>
      <c r="AM4" s="49" t="s">
        <v>66</v>
      </c>
      <c r="AN4" s="49" t="s">
        <v>28</v>
      </c>
      <c r="AO4" s="49" t="s">
        <v>153</v>
      </c>
      <c r="AP4" s="49" t="s">
        <v>49</v>
      </c>
      <c r="AQ4" s="49" t="s">
        <v>41</v>
      </c>
      <c r="AR4" s="49" t="s">
        <v>154</v>
      </c>
      <c r="AS4" s="49" t="s">
        <v>108</v>
      </c>
      <c r="AT4" s="49" t="s">
        <v>109</v>
      </c>
      <c r="AU4" s="49" t="s">
        <v>155</v>
      </c>
      <c r="AV4" s="49" t="s">
        <v>142</v>
      </c>
      <c r="AW4" s="49" t="s">
        <v>111</v>
      </c>
      <c r="AX4" s="49" t="s">
        <v>24</v>
      </c>
      <c r="AY4" s="49" t="s">
        <v>143</v>
      </c>
      <c r="AZ4" s="49" t="s">
        <v>172</v>
      </c>
      <c r="BA4" s="49" t="s">
        <v>173</v>
      </c>
      <c r="BB4" s="49" t="s">
        <v>110</v>
      </c>
      <c r="BC4" s="49"/>
      <c r="BD4" s="49"/>
    </row>
    <row r="5" spans="1:57" s="63" customFormat="1" ht="27.75" customHeight="1" x14ac:dyDescent="0.3">
      <c r="A5" s="128"/>
      <c r="B5" s="129"/>
      <c r="C5" s="131"/>
      <c r="D5" s="132"/>
      <c r="E5" s="132"/>
      <c r="F5" s="133"/>
      <c r="G5" s="75" t="s">
        <v>145</v>
      </c>
      <c r="H5" s="75" t="s">
        <v>146</v>
      </c>
      <c r="I5" s="76" t="s">
        <v>145</v>
      </c>
      <c r="J5" s="76" t="s">
        <v>146</v>
      </c>
      <c r="K5" s="77" t="s">
        <v>145</v>
      </c>
      <c r="L5" s="77" t="s">
        <v>146</v>
      </c>
      <c r="M5" s="78" t="s">
        <v>145</v>
      </c>
      <c r="N5" s="78" t="s">
        <v>146</v>
      </c>
      <c r="O5" s="79" t="s">
        <v>147</v>
      </c>
      <c r="P5" s="79" t="s">
        <v>148</v>
      </c>
      <c r="Q5" s="64">
        <f>SUM(Q6:Q124)</f>
        <v>15585978.469999999</v>
      </c>
      <c r="R5" s="64">
        <f>SUM(R6:R124)</f>
        <v>36000</v>
      </c>
      <c r="S5" s="64">
        <f>SUM(S6:S124)</f>
        <v>0</v>
      </c>
      <c r="T5" s="64">
        <f>SUM(T6:T124)</f>
        <v>0</v>
      </c>
      <c r="U5" s="64">
        <f>SUM(U6:U124)</f>
        <v>0</v>
      </c>
      <c r="V5" s="65">
        <f>SUM(V6:V124)</f>
        <v>0</v>
      </c>
      <c r="W5" s="65">
        <f>SUM(W6:W124)</f>
        <v>0</v>
      </c>
      <c r="X5" s="65">
        <f>SUM(X6:X124)</f>
        <v>0</v>
      </c>
      <c r="Y5" s="65">
        <f>SUM(Y6:Y124)</f>
        <v>0</v>
      </c>
      <c r="Z5" s="65">
        <f>SUM(Z6:Z124)</f>
        <v>268000</v>
      </c>
      <c r="AA5" s="65">
        <f>SUM(AA6:AA124)</f>
        <v>0</v>
      </c>
      <c r="AB5" s="65">
        <f>SUM(AB6:AB124)</f>
        <v>0</v>
      </c>
      <c r="AC5" s="65">
        <f>SUM(AC6:AC124)</f>
        <v>0</v>
      </c>
      <c r="AD5" s="65">
        <f>SUM(AD6:AD124)</f>
        <v>0</v>
      </c>
      <c r="AE5" s="65">
        <f>SUM(AE6:AE124)</f>
        <v>0</v>
      </c>
      <c r="AF5" s="65">
        <f>SUM(AF6:AF124)</f>
        <v>7000</v>
      </c>
      <c r="AG5" s="65">
        <f>SUM(AG6:AG124)</f>
        <v>0</v>
      </c>
      <c r="AH5" s="65">
        <f>SUM(AH6:AH124)</f>
        <v>81000</v>
      </c>
      <c r="AI5" s="65">
        <f>SUM(AI6:AI124)</f>
        <v>0</v>
      </c>
      <c r="AJ5" s="65">
        <f>SUM(AJ6:AJ124)</f>
        <v>0</v>
      </c>
      <c r="AK5" s="65">
        <f>SUM(AK6:AK124)</f>
        <v>600000</v>
      </c>
      <c r="AL5" s="65">
        <f>SUM(AL6:AL124)</f>
        <v>0</v>
      </c>
      <c r="AM5" s="65">
        <f>SUM(AM6:AM124)</f>
        <v>0</v>
      </c>
      <c r="AN5" s="65">
        <f>SUM(AN6:AN124)</f>
        <v>2083168</v>
      </c>
      <c r="AO5" s="65">
        <f>SUM(AO6:AO124)</f>
        <v>1575000</v>
      </c>
      <c r="AP5" s="65">
        <f>SUM(AP6:AP124)</f>
        <v>0</v>
      </c>
      <c r="AQ5" s="65">
        <f>SUM(AQ6:AQ124)</f>
        <v>0</v>
      </c>
      <c r="AR5" s="65">
        <f>SUM(AR6:AR124)</f>
        <v>0</v>
      </c>
      <c r="AS5" s="65">
        <f>SUM(AS6:AS124)</f>
        <v>96000</v>
      </c>
      <c r="AT5" s="65">
        <f>SUM(AT6:AT124)</f>
        <v>132500</v>
      </c>
      <c r="AU5" s="65">
        <f>SUM(AU6:AU124)</f>
        <v>280000</v>
      </c>
      <c r="AV5" s="65">
        <f>SUM(AV6:AV124)</f>
        <v>0</v>
      </c>
      <c r="AW5" s="65">
        <f>SUM(AW6:AW124)</f>
        <v>0</v>
      </c>
      <c r="AX5" s="65">
        <f>SUM(AX6:AX124)</f>
        <v>0</v>
      </c>
      <c r="AY5" s="65">
        <f>SUM(AY6:AY124)</f>
        <v>0</v>
      </c>
      <c r="AZ5" s="65">
        <f>SUM(AZ6:AZ124)</f>
        <v>0</v>
      </c>
      <c r="BA5" s="65">
        <f>SUM(BA6:BA124)</f>
        <v>0</v>
      </c>
      <c r="BB5" s="65">
        <f>SUM(BB6:BB124)</f>
        <v>131341.45000000001</v>
      </c>
      <c r="BC5" s="65">
        <f>SUM(BC6:BC124)</f>
        <v>0</v>
      </c>
      <c r="BD5" s="65">
        <f>SUM(BD6:BD124)</f>
        <v>0</v>
      </c>
    </row>
    <row r="6" spans="1:57" s="2" customFormat="1" ht="57" customHeight="1" x14ac:dyDescent="0.3">
      <c r="A6" s="74">
        <v>45105</v>
      </c>
      <c r="B6" s="82" t="s">
        <v>185</v>
      </c>
      <c r="C6" s="72" t="s">
        <v>103</v>
      </c>
      <c r="D6" s="72"/>
      <c r="E6" s="73" t="s">
        <v>206</v>
      </c>
      <c r="F6" s="98" t="s">
        <v>207</v>
      </c>
      <c r="G6" s="66"/>
      <c r="H6" s="66">
        <v>168000</v>
      </c>
      <c r="I6" s="67"/>
      <c r="J6" s="67"/>
      <c r="K6" s="68"/>
      <c r="L6" s="68"/>
      <c r="M6" s="80"/>
      <c r="N6" s="80"/>
      <c r="O6" s="81"/>
      <c r="P6" s="81"/>
      <c r="Q6" s="71"/>
      <c r="R6" s="71"/>
      <c r="S6" s="71"/>
      <c r="T6" s="71"/>
      <c r="U6" s="71"/>
      <c r="V6" s="71"/>
      <c r="W6" s="71"/>
      <c r="X6" s="71"/>
      <c r="Y6" s="71"/>
      <c r="Z6" s="71">
        <v>168000</v>
      </c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69"/>
    </row>
    <row r="7" spans="1:57" s="2" customFormat="1" ht="57" customHeight="1" x14ac:dyDescent="0.3">
      <c r="A7" s="74">
        <v>45108</v>
      </c>
      <c r="B7" s="82" t="s">
        <v>185</v>
      </c>
      <c r="C7" s="72" t="s">
        <v>73</v>
      </c>
      <c r="D7" s="72"/>
      <c r="E7" s="73" t="s">
        <v>223</v>
      </c>
      <c r="F7" s="98" t="s">
        <v>224</v>
      </c>
      <c r="G7" s="66"/>
      <c r="H7" s="66">
        <v>1300000</v>
      </c>
      <c r="I7" s="67"/>
      <c r="J7" s="67"/>
      <c r="K7" s="68"/>
      <c r="L7" s="68"/>
      <c r="M7" s="80"/>
      <c r="N7" s="80"/>
      <c r="O7" s="81"/>
      <c r="P7" s="8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>
        <v>1300000</v>
      </c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69"/>
    </row>
    <row r="8" spans="1:57" s="2" customFormat="1" ht="57" customHeight="1" x14ac:dyDescent="0.3">
      <c r="A8" s="74">
        <v>45108</v>
      </c>
      <c r="B8" s="82" t="s">
        <v>185</v>
      </c>
      <c r="C8" s="72" t="s">
        <v>73</v>
      </c>
      <c r="D8" s="72"/>
      <c r="E8" s="73" t="s">
        <v>225</v>
      </c>
      <c r="F8" s="98" t="s">
        <v>226</v>
      </c>
      <c r="G8" s="66"/>
      <c r="H8" s="66">
        <v>275000</v>
      </c>
      <c r="I8" s="67"/>
      <c r="J8" s="67"/>
      <c r="K8" s="68"/>
      <c r="L8" s="68"/>
      <c r="M8" s="80"/>
      <c r="N8" s="80"/>
      <c r="O8" s="81"/>
      <c r="P8" s="8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>
        <v>275000</v>
      </c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69"/>
    </row>
    <row r="9" spans="1:57" s="2" customFormat="1" ht="57" customHeight="1" x14ac:dyDescent="0.3">
      <c r="A9" s="74">
        <v>45110</v>
      </c>
      <c r="B9" s="82" t="s">
        <v>185</v>
      </c>
      <c r="C9" s="72" t="s">
        <v>26</v>
      </c>
      <c r="D9" s="72" t="s">
        <v>188</v>
      </c>
      <c r="E9" s="73" t="s">
        <v>189</v>
      </c>
      <c r="F9" s="98" t="s">
        <v>130</v>
      </c>
      <c r="G9" s="66"/>
      <c r="H9" s="66">
        <v>58000</v>
      </c>
      <c r="I9" s="67"/>
      <c r="J9" s="67"/>
      <c r="K9" s="68"/>
      <c r="L9" s="68"/>
      <c r="M9" s="80"/>
      <c r="N9" s="80"/>
      <c r="O9" s="81"/>
      <c r="P9" s="8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>
        <v>58000</v>
      </c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69"/>
    </row>
    <row r="10" spans="1:57" s="2" customFormat="1" ht="57" customHeight="1" x14ac:dyDescent="0.3">
      <c r="A10" s="74">
        <v>45111</v>
      </c>
      <c r="B10" s="82" t="s">
        <v>185</v>
      </c>
      <c r="C10" s="72" t="s">
        <v>63</v>
      </c>
      <c r="D10" s="72"/>
      <c r="E10" s="73" t="s">
        <v>193</v>
      </c>
      <c r="F10" s="98" t="s">
        <v>194</v>
      </c>
      <c r="G10" s="66"/>
      <c r="H10" s="66">
        <v>600000</v>
      </c>
      <c r="I10" s="67"/>
      <c r="J10" s="67"/>
      <c r="K10" s="68"/>
      <c r="L10" s="68"/>
      <c r="M10" s="80"/>
      <c r="N10" s="80"/>
      <c r="O10" s="81"/>
      <c r="P10" s="8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>
        <v>600000</v>
      </c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69"/>
    </row>
    <row r="11" spans="1:57" s="2" customFormat="1" ht="57" customHeight="1" x14ac:dyDescent="0.3">
      <c r="A11" s="74">
        <v>45111</v>
      </c>
      <c r="B11" s="82" t="s">
        <v>185</v>
      </c>
      <c r="C11" s="72" t="s">
        <v>51</v>
      </c>
      <c r="D11" s="72"/>
      <c r="E11" s="73" t="s">
        <v>229</v>
      </c>
      <c r="F11" s="98" t="s">
        <v>228</v>
      </c>
      <c r="G11" s="66"/>
      <c r="H11" s="66">
        <v>93000</v>
      </c>
      <c r="I11" s="67"/>
      <c r="J11" s="67"/>
      <c r="K11" s="68"/>
      <c r="L11" s="68"/>
      <c r="M11" s="80"/>
      <c r="N11" s="80"/>
      <c r="O11" s="81"/>
      <c r="P11" s="8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>
        <v>93000</v>
      </c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69"/>
    </row>
    <row r="12" spans="1:57" s="2" customFormat="1" ht="57" customHeight="1" x14ac:dyDescent="0.3">
      <c r="A12" s="74">
        <v>45111</v>
      </c>
      <c r="B12" s="82" t="s">
        <v>232</v>
      </c>
      <c r="C12" s="72" t="s">
        <v>110</v>
      </c>
      <c r="D12" s="72">
        <v>1256426</v>
      </c>
      <c r="E12" s="73" t="s">
        <v>233</v>
      </c>
      <c r="F12" s="98" t="s">
        <v>234</v>
      </c>
      <c r="G12" s="66"/>
      <c r="H12" s="66"/>
      <c r="I12" s="67"/>
      <c r="J12" s="67">
        <v>131341.45000000001</v>
      </c>
      <c r="K12" s="68"/>
      <c r="L12" s="68"/>
      <c r="M12" s="80"/>
      <c r="N12" s="80"/>
      <c r="O12" s="81"/>
      <c r="P12" s="8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>
        <v>131341.45000000001</v>
      </c>
      <c r="BC12" s="71"/>
      <c r="BD12" s="71"/>
      <c r="BE12" s="69"/>
    </row>
    <row r="13" spans="1:57" s="2" customFormat="1" ht="57" customHeight="1" x14ac:dyDescent="0.3">
      <c r="A13" s="74">
        <v>45112</v>
      </c>
      <c r="B13" s="82" t="s">
        <v>179</v>
      </c>
      <c r="C13" s="72" t="s">
        <v>21</v>
      </c>
      <c r="D13" s="72">
        <v>10254</v>
      </c>
      <c r="E13" s="73" t="s">
        <v>204</v>
      </c>
      <c r="F13" s="98" t="s">
        <v>205</v>
      </c>
      <c r="G13" s="66"/>
      <c r="H13" s="66"/>
      <c r="I13" s="67"/>
      <c r="J13" s="67"/>
      <c r="K13" s="68">
        <v>564300</v>
      </c>
      <c r="L13" s="68"/>
      <c r="M13" s="80"/>
      <c r="N13" s="80"/>
      <c r="O13" s="81"/>
      <c r="P13" s="81"/>
      <c r="Q13" s="71">
        <v>564300</v>
      </c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69"/>
    </row>
    <row r="14" spans="1:57" s="2" customFormat="1" ht="57" customHeight="1" x14ac:dyDescent="0.3">
      <c r="A14" s="74">
        <v>45112</v>
      </c>
      <c r="B14" s="82" t="s">
        <v>214</v>
      </c>
      <c r="C14" s="72" t="s">
        <v>29</v>
      </c>
      <c r="D14" s="72">
        <v>10250</v>
      </c>
      <c r="E14" s="73" t="s">
        <v>216</v>
      </c>
      <c r="F14" s="98" t="s">
        <v>215</v>
      </c>
      <c r="G14" s="66">
        <v>20000</v>
      </c>
      <c r="H14" s="66"/>
      <c r="I14" s="67"/>
      <c r="J14" s="67"/>
      <c r="K14" s="68"/>
      <c r="L14" s="68"/>
      <c r="M14" s="80"/>
      <c r="N14" s="80"/>
      <c r="O14" s="81"/>
      <c r="P14" s="81"/>
      <c r="Q14" s="71"/>
      <c r="R14" s="71">
        <v>20000</v>
      </c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69"/>
    </row>
    <row r="15" spans="1:57" s="2" customFormat="1" ht="57" customHeight="1" x14ac:dyDescent="0.3">
      <c r="A15" s="74">
        <v>45112</v>
      </c>
      <c r="B15" s="82" t="s">
        <v>217</v>
      </c>
      <c r="C15" s="72" t="s">
        <v>21</v>
      </c>
      <c r="D15" s="72">
        <v>10251</v>
      </c>
      <c r="E15" s="73" t="s">
        <v>218</v>
      </c>
      <c r="F15" s="98" t="s">
        <v>219</v>
      </c>
      <c r="G15" s="66">
        <v>176167.2</v>
      </c>
      <c r="H15" s="66"/>
      <c r="I15" s="67"/>
      <c r="J15" s="67"/>
      <c r="K15" s="68"/>
      <c r="L15" s="68"/>
      <c r="M15" s="80"/>
      <c r="N15" s="80"/>
      <c r="O15" s="81"/>
      <c r="P15" s="81"/>
      <c r="Q15" s="71">
        <v>176167.2</v>
      </c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69"/>
    </row>
    <row r="16" spans="1:57" s="2" customFormat="1" ht="57" customHeight="1" x14ac:dyDescent="0.3">
      <c r="A16" s="74">
        <v>45112</v>
      </c>
      <c r="B16" s="82" t="s">
        <v>220</v>
      </c>
      <c r="C16" s="72" t="s">
        <v>21</v>
      </c>
      <c r="D16" s="72">
        <v>10252</v>
      </c>
      <c r="E16" s="73" t="s">
        <v>221</v>
      </c>
      <c r="F16" s="98" t="s">
        <v>222</v>
      </c>
      <c r="G16" s="66">
        <v>12554497.58</v>
      </c>
      <c r="H16" s="66"/>
      <c r="I16" s="67"/>
      <c r="J16" s="67"/>
      <c r="K16" s="68"/>
      <c r="L16" s="68"/>
      <c r="M16" s="80"/>
      <c r="N16" s="80"/>
      <c r="O16" s="81"/>
      <c r="P16" s="81"/>
      <c r="Q16" s="71">
        <v>12554497.58</v>
      </c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69"/>
    </row>
    <row r="17" spans="1:57" s="2" customFormat="1" ht="57" customHeight="1" x14ac:dyDescent="0.3">
      <c r="A17" s="74">
        <v>45113</v>
      </c>
      <c r="B17" s="82" t="s">
        <v>185</v>
      </c>
      <c r="C17" s="72" t="s">
        <v>60</v>
      </c>
      <c r="D17" s="72"/>
      <c r="E17" s="73" t="s">
        <v>190</v>
      </c>
      <c r="F17" s="98" t="s">
        <v>191</v>
      </c>
      <c r="G17" s="66"/>
      <c r="H17" s="66">
        <v>7000</v>
      </c>
      <c r="I17" s="67"/>
      <c r="J17" s="67"/>
      <c r="K17" s="68"/>
      <c r="L17" s="68"/>
      <c r="M17" s="80"/>
      <c r="N17" s="80"/>
      <c r="O17" s="81"/>
      <c r="P17" s="8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>
        <v>7000</v>
      </c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69"/>
    </row>
    <row r="18" spans="1:57" s="2" customFormat="1" ht="57" customHeight="1" x14ac:dyDescent="0.3">
      <c r="A18" s="74">
        <v>45113</v>
      </c>
      <c r="B18" s="82" t="s">
        <v>185</v>
      </c>
      <c r="C18" s="72" t="s">
        <v>103</v>
      </c>
      <c r="D18" s="72"/>
      <c r="E18" s="73" t="s">
        <v>206</v>
      </c>
      <c r="F18" s="98" t="s">
        <v>207</v>
      </c>
      <c r="G18" s="66"/>
      <c r="H18" s="66">
        <v>100000</v>
      </c>
      <c r="I18" s="67"/>
      <c r="J18" s="67"/>
      <c r="K18" s="68"/>
      <c r="L18" s="68"/>
      <c r="M18" s="80"/>
      <c r="N18" s="80"/>
      <c r="O18" s="81"/>
      <c r="P18" s="81"/>
      <c r="Q18" s="71"/>
      <c r="R18" s="71"/>
      <c r="S18" s="71"/>
      <c r="T18" s="71"/>
      <c r="U18" s="71"/>
      <c r="V18" s="71"/>
      <c r="W18" s="71"/>
      <c r="X18" s="71"/>
      <c r="Y18" s="71"/>
      <c r="Z18" s="71">
        <v>100000</v>
      </c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69"/>
    </row>
    <row r="19" spans="1:57" s="2" customFormat="1" ht="57" customHeight="1" x14ac:dyDescent="0.3">
      <c r="A19" s="74">
        <v>45113</v>
      </c>
      <c r="B19" s="82" t="s">
        <v>185</v>
      </c>
      <c r="C19" s="72" t="s">
        <v>26</v>
      </c>
      <c r="D19" s="72">
        <v>2415</v>
      </c>
      <c r="E19" s="73" t="s">
        <v>208</v>
      </c>
      <c r="F19" s="98" t="s">
        <v>209</v>
      </c>
      <c r="G19" s="66"/>
      <c r="H19" s="66">
        <v>23000</v>
      </c>
      <c r="I19" s="67"/>
      <c r="J19" s="67"/>
      <c r="K19" s="68"/>
      <c r="L19" s="68"/>
      <c r="M19" s="80"/>
      <c r="N19" s="80"/>
      <c r="O19" s="81"/>
      <c r="P19" s="8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>
        <v>23000</v>
      </c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69"/>
    </row>
    <row r="20" spans="1:57" s="2" customFormat="1" ht="57" customHeight="1" x14ac:dyDescent="0.3">
      <c r="A20" s="74">
        <v>45113</v>
      </c>
      <c r="B20" s="82" t="s">
        <v>185</v>
      </c>
      <c r="C20" s="72" t="s">
        <v>51</v>
      </c>
      <c r="D20" s="72"/>
      <c r="E20" s="73" t="s">
        <v>227</v>
      </c>
      <c r="F20" s="98" t="s">
        <v>228</v>
      </c>
      <c r="G20" s="66"/>
      <c r="H20" s="66">
        <v>3000</v>
      </c>
      <c r="I20" s="67"/>
      <c r="J20" s="67"/>
      <c r="K20" s="68"/>
      <c r="L20" s="68"/>
      <c r="M20" s="80"/>
      <c r="N20" s="80"/>
      <c r="O20" s="81"/>
      <c r="P20" s="8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>
        <v>3000</v>
      </c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69"/>
    </row>
    <row r="21" spans="1:57" s="2" customFormat="1" ht="57" customHeight="1" x14ac:dyDescent="0.3">
      <c r="A21" s="74">
        <v>45113</v>
      </c>
      <c r="B21" s="82" t="s">
        <v>203</v>
      </c>
      <c r="C21" s="72" t="s">
        <v>21</v>
      </c>
      <c r="D21" s="72"/>
      <c r="E21" s="73" t="s">
        <v>237</v>
      </c>
      <c r="F21" s="98" t="s">
        <v>238</v>
      </c>
      <c r="G21" s="66"/>
      <c r="H21" s="66"/>
      <c r="I21" s="67">
        <v>860157.69</v>
      </c>
      <c r="J21" s="67"/>
      <c r="K21" s="68"/>
      <c r="L21" s="68"/>
      <c r="M21" s="80"/>
      <c r="N21" s="80"/>
      <c r="O21" s="81"/>
      <c r="P21" s="81"/>
      <c r="Q21" s="71">
        <v>860157.69</v>
      </c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69"/>
    </row>
    <row r="22" spans="1:57" s="2" customFormat="1" ht="57" customHeight="1" x14ac:dyDescent="0.3">
      <c r="A22" s="74">
        <v>45114</v>
      </c>
      <c r="B22" s="82" t="s">
        <v>185</v>
      </c>
      <c r="C22" s="72" t="s">
        <v>29</v>
      </c>
      <c r="D22" s="72">
        <v>10257</v>
      </c>
      <c r="E22" s="73" t="s">
        <v>195</v>
      </c>
      <c r="F22" s="98" t="s">
        <v>196</v>
      </c>
      <c r="G22" s="66">
        <v>16000</v>
      </c>
      <c r="H22" s="66"/>
      <c r="I22" s="67"/>
      <c r="J22" s="67"/>
      <c r="K22" s="68"/>
      <c r="L22" s="68"/>
      <c r="M22" s="80"/>
      <c r="N22" s="80"/>
      <c r="O22" s="81"/>
      <c r="P22" s="81"/>
      <c r="Q22" s="71"/>
      <c r="R22" s="71">
        <v>16000</v>
      </c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69"/>
    </row>
    <row r="23" spans="1:57" s="2" customFormat="1" ht="57" customHeight="1" x14ac:dyDescent="0.3">
      <c r="A23" s="74">
        <v>45114</v>
      </c>
      <c r="B23" s="82" t="s">
        <v>185</v>
      </c>
      <c r="C23" s="72" t="s">
        <v>21</v>
      </c>
      <c r="D23" s="72">
        <v>10258</v>
      </c>
      <c r="E23" s="73" t="s">
        <v>197</v>
      </c>
      <c r="F23" s="98" t="s">
        <v>196</v>
      </c>
      <c r="G23" s="66">
        <v>144000</v>
      </c>
      <c r="H23" s="66"/>
      <c r="I23" s="67"/>
      <c r="J23" s="67"/>
      <c r="K23" s="68"/>
      <c r="L23" s="68"/>
      <c r="M23" s="80"/>
      <c r="N23" s="80"/>
      <c r="O23" s="81"/>
      <c r="P23" s="81"/>
      <c r="Q23" s="71">
        <v>144000</v>
      </c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69"/>
    </row>
    <row r="24" spans="1:57" s="2" customFormat="1" ht="57" customHeight="1" x14ac:dyDescent="0.3">
      <c r="A24" s="74">
        <v>45114</v>
      </c>
      <c r="B24" s="82" t="s">
        <v>198</v>
      </c>
      <c r="C24" s="72" t="s">
        <v>21</v>
      </c>
      <c r="D24" s="72">
        <v>10256</v>
      </c>
      <c r="E24" s="73" t="s">
        <v>199</v>
      </c>
      <c r="F24" s="98" t="s">
        <v>200</v>
      </c>
      <c r="G24" s="66">
        <v>638856</v>
      </c>
      <c r="H24" s="66"/>
      <c r="I24" s="67"/>
      <c r="J24" s="67"/>
      <c r="K24" s="68"/>
      <c r="L24" s="68"/>
      <c r="M24" s="80"/>
      <c r="N24" s="80"/>
      <c r="O24" s="81"/>
      <c r="P24" s="81"/>
      <c r="Q24" s="71">
        <v>638856</v>
      </c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105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69"/>
    </row>
    <row r="25" spans="1:57" s="2" customFormat="1" ht="57" customHeight="1" x14ac:dyDescent="0.3">
      <c r="A25" s="74">
        <v>45114</v>
      </c>
      <c r="B25" s="82" t="s">
        <v>185</v>
      </c>
      <c r="C25" s="72" t="s">
        <v>21</v>
      </c>
      <c r="D25" s="72">
        <v>10255</v>
      </c>
      <c r="E25" s="73" t="s">
        <v>201</v>
      </c>
      <c r="F25" s="98" t="s">
        <v>202</v>
      </c>
      <c r="G25" s="66">
        <v>648000</v>
      </c>
      <c r="H25" s="66"/>
      <c r="I25" s="67"/>
      <c r="J25" s="67"/>
      <c r="K25" s="68"/>
      <c r="L25" s="68"/>
      <c r="M25" s="80"/>
      <c r="N25" s="80"/>
      <c r="O25" s="81"/>
      <c r="P25" s="81"/>
      <c r="Q25" s="71">
        <v>648000</v>
      </c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69"/>
    </row>
    <row r="26" spans="1:57" s="2" customFormat="1" ht="57" customHeight="1" x14ac:dyDescent="0.3">
      <c r="A26" s="74">
        <v>45114</v>
      </c>
      <c r="B26" s="82" t="s">
        <v>203</v>
      </c>
      <c r="C26" s="72" t="s">
        <v>28</v>
      </c>
      <c r="D26" s="72"/>
      <c r="E26" s="73" t="s">
        <v>235</v>
      </c>
      <c r="F26" s="98" t="s">
        <v>236</v>
      </c>
      <c r="G26" s="66"/>
      <c r="H26" s="66"/>
      <c r="I26" s="67"/>
      <c r="J26" s="67">
        <v>2083168</v>
      </c>
      <c r="K26" s="68"/>
      <c r="L26" s="68"/>
      <c r="M26" s="80"/>
      <c r="N26" s="80"/>
      <c r="O26" s="81"/>
      <c r="P26" s="8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>
        <v>2083168</v>
      </c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69"/>
    </row>
    <row r="27" spans="1:57" s="2" customFormat="1" ht="57" customHeight="1" x14ac:dyDescent="0.3">
      <c r="A27" s="74">
        <v>45117</v>
      </c>
      <c r="B27" s="82" t="s">
        <v>179</v>
      </c>
      <c r="C27" s="72" t="s">
        <v>81</v>
      </c>
      <c r="D27" s="72"/>
      <c r="E27" s="73" t="s">
        <v>180</v>
      </c>
      <c r="F27" s="98" t="s">
        <v>181</v>
      </c>
      <c r="G27" s="66"/>
      <c r="H27" s="66">
        <v>280000</v>
      </c>
      <c r="I27" s="67"/>
      <c r="J27" s="67"/>
      <c r="K27" s="68"/>
      <c r="L27" s="68"/>
      <c r="M27" s="80"/>
      <c r="N27" s="80"/>
      <c r="O27" s="81"/>
      <c r="P27" s="8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>
        <v>280000</v>
      </c>
      <c r="AV27" s="71"/>
      <c r="AW27" s="71"/>
      <c r="AX27" s="71"/>
      <c r="AY27" s="71"/>
      <c r="AZ27" s="71"/>
      <c r="BA27" s="71"/>
      <c r="BB27" s="71"/>
      <c r="BC27" s="71"/>
      <c r="BD27" s="71"/>
      <c r="BE27" s="69"/>
    </row>
    <row r="28" spans="1:57" s="2" customFormat="1" ht="57" customHeight="1" x14ac:dyDescent="0.3">
      <c r="A28" s="74">
        <v>45117</v>
      </c>
      <c r="B28" s="82" t="s">
        <v>185</v>
      </c>
      <c r="C28" s="72" t="s">
        <v>57</v>
      </c>
      <c r="D28" s="72" t="s">
        <v>186</v>
      </c>
      <c r="E28" s="73" t="s">
        <v>187</v>
      </c>
      <c r="F28" s="98" t="s">
        <v>130</v>
      </c>
      <c r="G28" s="66"/>
      <c r="H28" s="66">
        <v>132500</v>
      </c>
      <c r="I28" s="67"/>
      <c r="J28" s="67"/>
      <c r="K28" s="68"/>
      <c r="L28" s="68"/>
      <c r="M28" s="80"/>
      <c r="N28" s="80"/>
      <c r="O28" s="81"/>
      <c r="P28" s="8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>
        <v>132500</v>
      </c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69"/>
    </row>
    <row r="29" spans="1:57" s="2" customFormat="1" ht="57" customHeight="1" x14ac:dyDescent="0.3">
      <c r="A29" s="74"/>
      <c r="B29" s="82"/>
      <c r="C29" s="72"/>
      <c r="D29" s="72"/>
      <c r="E29" s="73"/>
      <c r="F29" s="98"/>
      <c r="G29" s="66"/>
      <c r="H29" s="66"/>
      <c r="I29" s="67"/>
      <c r="J29" s="67"/>
      <c r="K29" s="68"/>
      <c r="L29" s="68"/>
      <c r="M29" s="80"/>
      <c r="N29" s="80"/>
      <c r="O29" s="81"/>
      <c r="P29" s="8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69"/>
    </row>
    <row r="30" spans="1:57" s="2" customFormat="1" ht="57" customHeight="1" x14ac:dyDescent="0.3">
      <c r="A30" s="74"/>
      <c r="B30" s="82"/>
      <c r="C30" s="72"/>
      <c r="D30" s="72"/>
      <c r="E30" s="73"/>
      <c r="F30" s="98"/>
      <c r="G30" s="66"/>
      <c r="H30" s="66"/>
      <c r="I30" s="67"/>
      <c r="J30" s="67"/>
      <c r="K30" s="68"/>
      <c r="L30" s="68"/>
      <c r="M30" s="80"/>
      <c r="N30" s="80"/>
      <c r="O30" s="81"/>
      <c r="P30" s="8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69"/>
    </row>
    <row r="31" spans="1:57" s="2" customFormat="1" ht="57" customHeight="1" x14ac:dyDescent="0.3">
      <c r="A31" s="74"/>
      <c r="B31" s="82"/>
      <c r="C31" s="72"/>
      <c r="D31" s="72"/>
      <c r="E31" s="73"/>
      <c r="F31" s="98"/>
      <c r="G31" s="66"/>
      <c r="H31" s="66"/>
      <c r="I31" s="67"/>
      <c r="J31" s="67"/>
      <c r="K31" s="68"/>
      <c r="L31" s="68"/>
      <c r="M31" s="80"/>
      <c r="N31" s="80"/>
      <c r="O31" s="81"/>
      <c r="P31" s="8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69"/>
    </row>
    <row r="32" spans="1:57" s="2" customFormat="1" ht="57" customHeight="1" x14ac:dyDescent="0.3">
      <c r="A32" s="74"/>
      <c r="B32" s="82"/>
      <c r="C32" s="72"/>
      <c r="D32" s="72"/>
      <c r="E32" s="73"/>
      <c r="F32" s="98"/>
      <c r="G32" s="66"/>
      <c r="H32" s="66"/>
      <c r="I32" s="67"/>
      <c r="J32" s="67"/>
      <c r="K32" s="68"/>
      <c r="L32" s="68"/>
      <c r="M32" s="80"/>
      <c r="N32" s="80"/>
      <c r="O32" s="81"/>
      <c r="P32" s="8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69"/>
    </row>
    <row r="33" spans="1:57" s="2" customFormat="1" ht="57" customHeight="1" x14ac:dyDescent="0.3">
      <c r="A33" s="74"/>
      <c r="B33" s="82"/>
      <c r="C33" s="72"/>
      <c r="D33" s="72"/>
      <c r="E33" s="73"/>
      <c r="F33" s="98"/>
      <c r="G33" s="66"/>
      <c r="H33" s="66"/>
      <c r="I33" s="67"/>
      <c r="J33" s="67"/>
      <c r="K33" s="68"/>
      <c r="L33" s="68"/>
      <c r="M33" s="80"/>
      <c r="N33" s="80"/>
      <c r="O33" s="81"/>
      <c r="P33" s="8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69"/>
    </row>
    <row r="34" spans="1:57" s="2" customFormat="1" ht="57" customHeight="1" x14ac:dyDescent="0.3">
      <c r="A34" s="74"/>
      <c r="B34" s="82"/>
      <c r="C34" s="72"/>
      <c r="D34" s="72"/>
      <c r="E34" s="73"/>
      <c r="F34" s="98"/>
      <c r="G34" s="66"/>
      <c r="H34" s="66"/>
      <c r="I34" s="67"/>
      <c r="J34" s="67"/>
      <c r="K34" s="68"/>
      <c r="L34" s="68"/>
      <c r="M34" s="80"/>
      <c r="N34" s="80"/>
      <c r="O34" s="81"/>
      <c r="P34" s="8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69"/>
    </row>
    <row r="35" spans="1:57" s="2" customFormat="1" ht="57" customHeight="1" x14ac:dyDescent="0.3">
      <c r="A35" s="74"/>
      <c r="B35" s="82"/>
      <c r="C35" s="72"/>
      <c r="D35" s="72"/>
      <c r="E35" s="73"/>
      <c r="F35" s="98"/>
      <c r="G35" s="66"/>
      <c r="H35" s="66"/>
      <c r="I35" s="67"/>
      <c r="J35" s="67"/>
      <c r="K35" s="68"/>
      <c r="L35" s="68"/>
      <c r="M35" s="80"/>
      <c r="N35" s="80"/>
      <c r="O35" s="81"/>
      <c r="P35" s="8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69"/>
    </row>
    <row r="36" spans="1:57" s="2" customFormat="1" ht="57" customHeight="1" x14ac:dyDescent="0.3">
      <c r="A36" s="74"/>
      <c r="B36" s="82"/>
      <c r="C36" s="72"/>
      <c r="D36" s="72"/>
      <c r="E36" s="73"/>
      <c r="F36" s="98"/>
      <c r="G36" s="66"/>
      <c r="H36" s="66"/>
      <c r="I36" s="67"/>
      <c r="J36" s="67"/>
      <c r="K36" s="68"/>
      <c r="L36" s="68"/>
      <c r="M36" s="80"/>
      <c r="N36" s="80"/>
      <c r="O36" s="81"/>
      <c r="P36" s="81"/>
      <c r="Q36" s="71"/>
      <c r="R36" s="71"/>
      <c r="S36" s="71"/>
      <c r="T36" s="71"/>
      <c r="U36" s="71"/>
      <c r="V36" s="71"/>
      <c r="W36" s="103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69"/>
    </row>
    <row r="37" spans="1:57" s="2" customFormat="1" ht="57" customHeight="1" x14ac:dyDescent="0.3">
      <c r="A37" s="74"/>
      <c r="B37" s="82"/>
      <c r="C37" s="72"/>
      <c r="D37" s="72"/>
      <c r="E37" s="73"/>
      <c r="F37" s="98"/>
      <c r="G37" s="66"/>
      <c r="H37" s="66"/>
      <c r="I37" s="67"/>
      <c r="J37" s="67"/>
      <c r="K37" s="68"/>
      <c r="L37" s="68"/>
      <c r="M37" s="80"/>
      <c r="N37" s="80"/>
      <c r="O37" s="81"/>
      <c r="P37" s="8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69"/>
    </row>
    <row r="38" spans="1:57" s="2" customFormat="1" ht="57" customHeight="1" x14ac:dyDescent="0.3">
      <c r="A38" s="74"/>
      <c r="B38" s="82"/>
      <c r="C38" s="72"/>
      <c r="D38" s="72"/>
      <c r="E38" s="73"/>
      <c r="F38" s="98"/>
      <c r="G38" s="66"/>
      <c r="H38" s="66"/>
      <c r="I38" s="67"/>
      <c r="J38" s="67"/>
      <c r="K38" s="68"/>
      <c r="L38" s="68"/>
      <c r="M38" s="80"/>
      <c r="N38" s="80"/>
      <c r="O38" s="81"/>
      <c r="P38" s="8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69"/>
    </row>
    <row r="39" spans="1:57" s="2" customFormat="1" ht="57" customHeight="1" x14ac:dyDescent="0.3">
      <c r="A39" s="74"/>
      <c r="B39" s="82"/>
      <c r="C39" s="72"/>
      <c r="D39" s="72"/>
      <c r="E39" s="73"/>
      <c r="F39" s="98"/>
      <c r="G39" s="66"/>
      <c r="H39" s="66"/>
      <c r="I39" s="67"/>
      <c r="J39" s="67"/>
      <c r="K39" s="68"/>
      <c r="L39" s="68"/>
      <c r="M39" s="80"/>
      <c r="N39" s="80"/>
      <c r="O39" s="81"/>
      <c r="P39" s="8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69"/>
    </row>
    <row r="40" spans="1:57" s="2" customFormat="1" ht="57" customHeight="1" x14ac:dyDescent="0.3">
      <c r="A40" s="74"/>
      <c r="B40" s="82"/>
      <c r="C40" s="72"/>
      <c r="D40" s="72"/>
      <c r="E40" s="73"/>
      <c r="F40" s="98"/>
      <c r="G40" s="66"/>
      <c r="H40" s="66"/>
      <c r="I40" s="67"/>
      <c r="J40" s="67"/>
      <c r="K40" s="68"/>
      <c r="L40" s="68"/>
      <c r="M40" s="80"/>
      <c r="N40" s="80"/>
      <c r="O40" s="81"/>
      <c r="P40" s="8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69"/>
    </row>
    <row r="41" spans="1:57" s="2" customFormat="1" ht="57" customHeight="1" x14ac:dyDescent="0.3">
      <c r="A41" s="74"/>
      <c r="B41" s="82"/>
      <c r="C41" s="72"/>
      <c r="D41" s="72"/>
      <c r="E41" s="73"/>
      <c r="F41" s="98"/>
      <c r="G41" s="66"/>
      <c r="H41" s="70"/>
      <c r="I41" s="67"/>
      <c r="J41" s="67"/>
      <c r="K41" s="68"/>
      <c r="L41" s="68"/>
      <c r="M41" s="80"/>
      <c r="N41" s="80"/>
      <c r="O41" s="81"/>
      <c r="P41" s="8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69"/>
    </row>
    <row r="42" spans="1:57" s="2" customFormat="1" ht="57" customHeight="1" x14ac:dyDescent="0.3">
      <c r="A42" s="74"/>
      <c r="B42" s="82"/>
      <c r="C42" s="72"/>
      <c r="D42" s="72"/>
      <c r="E42" s="73"/>
      <c r="F42" s="98"/>
      <c r="G42" s="66"/>
      <c r="H42" s="66"/>
      <c r="I42" s="67"/>
      <c r="J42" s="67"/>
      <c r="K42" s="68"/>
      <c r="L42" s="68"/>
      <c r="M42" s="80"/>
      <c r="N42" s="80"/>
      <c r="O42" s="81"/>
      <c r="P42" s="8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69"/>
    </row>
    <row r="43" spans="1:57" s="2" customFormat="1" ht="57" customHeight="1" x14ac:dyDescent="0.3">
      <c r="A43" s="74"/>
      <c r="B43" s="82"/>
      <c r="C43" s="72"/>
      <c r="D43" s="72"/>
      <c r="E43" s="73"/>
      <c r="F43" s="98"/>
      <c r="G43" s="66"/>
      <c r="H43" s="66"/>
      <c r="I43" s="67"/>
      <c r="J43" s="67"/>
      <c r="K43" s="68"/>
      <c r="L43" s="68"/>
      <c r="M43" s="80"/>
      <c r="N43" s="80"/>
      <c r="O43" s="81"/>
      <c r="P43" s="8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69"/>
    </row>
    <row r="44" spans="1:57" s="2" customFormat="1" ht="57" customHeight="1" x14ac:dyDescent="0.3">
      <c r="A44" s="74"/>
      <c r="B44" s="82"/>
      <c r="C44" s="72"/>
      <c r="D44" s="72"/>
      <c r="E44" s="73"/>
      <c r="F44" s="98"/>
      <c r="G44" s="66"/>
      <c r="H44" s="66"/>
      <c r="I44" s="67"/>
      <c r="J44" s="67"/>
      <c r="K44" s="68"/>
      <c r="L44" s="68"/>
      <c r="M44" s="80"/>
      <c r="N44" s="80"/>
      <c r="O44" s="81"/>
      <c r="P44" s="8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69"/>
    </row>
    <row r="45" spans="1:57" s="2" customFormat="1" ht="57" customHeight="1" x14ac:dyDescent="0.3">
      <c r="A45" s="74"/>
      <c r="B45" s="82"/>
      <c r="C45" s="72"/>
      <c r="D45" s="72"/>
      <c r="E45" s="73"/>
      <c r="F45" s="98"/>
      <c r="G45" s="66"/>
      <c r="H45" s="66"/>
      <c r="I45" s="67"/>
      <c r="J45" s="67"/>
      <c r="K45" s="68"/>
      <c r="L45" s="68"/>
      <c r="M45" s="80"/>
      <c r="N45" s="80"/>
      <c r="O45" s="81"/>
      <c r="P45" s="8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69"/>
    </row>
    <row r="46" spans="1:57" s="2" customFormat="1" ht="57" customHeight="1" x14ac:dyDescent="0.3">
      <c r="A46" s="74"/>
      <c r="B46" s="82"/>
      <c r="C46" s="72"/>
      <c r="D46" s="72"/>
      <c r="E46" s="73"/>
      <c r="F46" s="98"/>
      <c r="G46" s="66"/>
      <c r="H46" s="66"/>
      <c r="I46" s="67"/>
      <c r="J46" s="67"/>
      <c r="K46" s="68"/>
      <c r="L46" s="68"/>
      <c r="M46" s="80"/>
      <c r="N46" s="80"/>
      <c r="O46" s="81"/>
      <c r="P46" s="8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69"/>
    </row>
    <row r="47" spans="1:57" s="2" customFormat="1" ht="57" customHeight="1" x14ac:dyDescent="0.3">
      <c r="A47" s="74"/>
      <c r="B47" s="82"/>
      <c r="C47" s="72"/>
      <c r="D47" s="72"/>
      <c r="E47" s="73"/>
      <c r="F47" s="98"/>
      <c r="G47" s="66"/>
      <c r="H47" s="66"/>
      <c r="I47" s="67"/>
      <c r="J47" s="67"/>
      <c r="K47" s="68"/>
      <c r="L47" s="68"/>
      <c r="M47" s="80"/>
      <c r="N47" s="80"/>
      <c r="O47" s="81"/>
      <c r="P47" s="8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69"/>
    </row>
    <row r="48" spans="1:57" s="2" customFormat="1" ht="57" customHeight="1" x14ac:dyDescent="0.3">
      <c r="A48" s="74"/>
      <c r="B48" s="82"/>
      <c r="C48" s="72"/>
      <c r="D48" s="72"/>
      <c r="E48" s="73"/>
      <c r="F48" s="98"/>
      <c r="G48" s="66"/>
      <c r="H48" s="66"/>
      <c r="I48" s="67"/>
      <c r="J48" s="67"/>
      <c r="K48" s="68"/>
      <c r="L48" s="68"/>
      <c r="M48" s="80"/>
      <c r="N48" s="80"/>
      <c r="O48" s="81"/>
      <c r="P48" s="8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69"/>
    </row>
    <row r="49" spans="1:57" s="2" customFormat="1" ht="57" customHeight="1" x14ac:dyDescent="0.3">
      <c r="A49" s="74"/>
      <c r="B49" s="82"/>
      <c r="C49" s="72"/>
      <c r="D49" s="72"/>
      <c r="E49" s="73"/>
      <c r="F49" s="98"/>
      <c r="G49" s="66"/>
      <c r="H49" s="66"/>
      <c r="I49" s="67"/>
      <c r="J49" s="67"/>
      <c r="K49" s="68"/>
      <c r="L49" s="68"/>
      <c r="M49" s="80"/>
      <c r="N49" s="80"/>
      <c r="O49" s="81"/>
      <c r="P49" s="81"/>
      <c r="Q49" s="71"/>
      <c r="R49" s="71"/>
      <c r="S49" s="71"/>
      <c r="T49" s="71"/>
      <c r="U49" s="71"/>
      <c r="V49" s="71"/>
      <c r="W49" s="71"/>
      <c r="X49" s="71"/>
      <c r="Y49" s="66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69"/>
    </row>
    <row r="50" spans="1:57" s="2" customFormat="1" ht="57" customHeight="1" x14ac:dyDescent="0.3">
      <c r="A50" s="74"/>
      <c r="B50" s="82"/>
      <c r="C50" s="72"/>
      <c r="D50" s="72"/>
      <c r="E50" s="73"/>
      <c r="F50" s="98"/>
      <c r="G50" s="66"/>
      <c r="H50" s="66"/>
      <c r="I50" s="67"/>
      <c r="J50" s="67"/>
      <c r="K50" s="68"/>
      <c r="L50" s="68"/>
      <c r="M50" s="80"/>
      <c r="N50" s="80"/>
      <c r="O50" s="81"/>
      <c r="P50" s="8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69"/>
    </row>
    <row r="51" spans="1:57" s="2" customFormat="1" ht="57" customHeight="1" x14ac:dyDescent="0.3">
      <c r="A51" s="74"/>
      <c r="B51" s="82"/>
      <c r="C51" s="72"/>
      <c r="D51" s="72"/>
      <c r="E51" s="73"/>
      <c r="F51" s="98"/>
      <c r="G51" s="66"/>
      <c r="H51" s="66"/>
      <c r="I51" s="67"/>
      <c r="J51" s="67"/>
      <c r="K51" s="68"/>
      <c r="L51" s="68"/>
      <c r="M51" s="80"/>
      <c r="N51" s="80"/>
      <c r="O51" s="81"/>
      <c r="P51" s="8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69"/>
    </row>
    <row r="52" spans="1:57" s="2" customFormat="1" ht="57" customHeight="1" x14ac:dyDescent="0.3">
      <c r="A52" s="74"/>
      <c r="B52" s="82"/>
      <c r="C52" s="72"/>
      <c r="D52" s="72"/>
      <c r="E52" s="73"/>
      <c r="F52" s="98"/>
      <c r="G52" s="66"/>
      <c r="H52" s="66"/>
      <c r="I52" s="67"/>
      <c r="J52" s="67"/>
      <c r="K52" s="68"/>
      <c r="L52" s="68"/>
      <c r="M52" s="80"/>
      <c r="N52" s="80"/>
      <c r="O52" s="81"/>
      <c r="P52" s="8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69"/>
    </row>
    <row r="53" spans="1:57" s="2" customFormat="1" ht="57" customHeight="1" x14ac:dyDescent="0.3">
      <c r="A53" s="74"/>
      <c r="B53" s="82"/>
      <c r="C53" s="72"/>
      <c r="D53" s="72"/>
      <c r="E53" s="73"/>
      <c r="F53" s="98"/>
      <c r="G53" s="66"/>
      <c r="H53" s="66"/>
      <c r="I53" s="67"/>
      <c r="J53" s="67"/>
      <c r="K53" s="68"/>
      <c r="L53" s="68"/>
      <c r="M53" s="80"/>
      <c r="N53" s="80"/>
      <c r="O53" s="81"/>
      <c r="P53" s="8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69"/>
    </row>
    <row r="54" spans="1:57" s="2" customFormat="1" ht="57" customHeight="1" x14ac:dyDescent="0.3">
      <c r="A54" s="74"/>
      <c r="B54" s="82"/>
      <c r="C54" s="72"/>
      <c r="D54" s="72"/>
      <c r="E54" s="73"/>
      <c r="F54" s="98"/>
      <c r="G54" s="66"/>
      <c r="H54" s="66"/>
      <c r="I54" s="67"/>
      <c r="J54" s="67"/>
      <c r="K54" s="68"/>
      <c r="L54" s="68"/>
      <c r="M54" s="80"/>
      <c r="N54" s="80"/>
      <c r="O54" s="81"/>
      <c r="P54" s="8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69"/>
    </row>
    <row r="55" spans="1:57" s="2" customFormat="1" ht="57" customHeight="1" x14ac:dyDescent="0.3">
      <c r="A55" s="74"/>
      <c r="B55" s="82"/>
      <c r="C55" s="72"/>
      <c r="D55" s="72"/>
      <c r="E55" s="73"/>
      <c r="F55" s="98"/>
      <c r="G55" s="66"/>
      <c r="H55" s="66"/>
      <c r="I55" s="67"/>
      <c r="J55" s="67"/>
      <c r="K55" s="68"/>
      <c r="L55" s="68"/>
      <c r="M55" s="80"/>
      <c r="N55" s="80"/>
      <c r="O55" s="81"/>
      <c r="P55" s="8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69"/>
    </row>
    <row r="56" spans="1:57" s="2" customFormat="1" ht="57" customHeight="1" x14ac:dyDescent="0.3">
      <c r="A56" s="74"/>
      <c r="B56" s="82"/>
      <c r="C56" s="72"/>
      <c r="D56" s="72"/>
      <c r="E56" s="73"/>
      <c r="F56" s="98"/>
      <c r="G56" s="66"/>
      <c r="H56" s="66"/>
      <c r="I56" s="67"/>
      <c r="J56" s="67"/>
      <c r="K56" s="68"/>
      <c r="L56" s="68"/>
      <c r="M56" s="80"/>
      <c r="N56" s="80"/>
      <c r="O56" s="81"/>
      <c r="P56" s="8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69"/>
    </row>
    <row r="57" spans="1:57" s="2" customFormat="1" ht="57" customHeight="1" x14ac:dyDescent="0.3">
      <c r="A57" s="74"/>
      <c r="B57" s="82"/>
      <c r="C57" s="72"/>
      <c r="D57" s="72"/>
      <c r="E57" s="73"/>
      <c r="F57" s="98"/>
      <c r="G57" s="66"/>
      <c r="H57" s="66"/>
      <c r="I57" s="67"/>
      <c r="J57" s="67"/>
      <c r="K57" s="68"/>
      <c r="L57" s="68"/>
      <c r="M57" s="80"/>
      <c r="N57" s="80"/>
      <c r="O57" s="81"/>
      <c r="P57" s="8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69"/>
    </row>
    <row r="58" spans="1:57" s="2" customFormat="1" ht="57" customHeight="1" x14ac:dyDescent="0.3">
      <c r="A58" s="74"/>
      <c r="B58" s="82"/>
      <c r="C58" s="72"/>
      <c r="D58" s="72"/>
      <c r="E58" s="73"/>
      <c r="F58" s="98"/>
      <c r="G58" s="66"/>
      <c r="H58" s="66"/>
      <c r="I58" s="67"/>
      <c r="J58" s="67"/>
      <c r="K58" s="68"/>
      <c r="L58" s="68"/>
      <c r="M58" s="80"/>
      <c r="N58" s="80"/>
      <c r="O58" s="81"/>
      <c r="P58" s="8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69"/>
    </row>
    <row r="59" spans="1:57" s="2" customFormat="1" ht="57" customHeight="1" x14ac:dyDescent="0.3">
      <c r="A59" s="74"/>
      <c r="B59" s="82"/>
      <c r="C59" s="72"/>
      <c r="D59" s="72"/>
      <c r="E59" s="73"/>
      <c r="F59" s="98"/>
      <c r="G59" s="66"/>
      <c r="H59" s="66"/>
      <c r="I59" s="67"/>
      <c r="J59" s="67"/>
      <c r="K59" s="68"/>
      <c r="L59" s="68"/>
      <c r="M59" s="80"/>
      <c r="N59" s="80"/>
      <c r="O59" s="81"/>
      <c r="P59" s="8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69"/>
    </row>
    <row r="60" spans="1:57" s="2" customFormat="1" ht="57" customHeight="1" x14ac:dyDescent="0.3">
      <c r="A60" s="74"/>
      <c r="B60" s="82"/>
      <c r="C60" s="72"/>
      <c r="D60" s="72"/>
      <c r="E60" s="73"/>
      <c r="F60" s="98"/>
      <c r="G60" s="66"/>
      <c r="H60" s="66"/>
      <c r="I60" s="67"/>
      <c r="J60" s="67"/>
      <c r="K60" s="68"/>
      <c r="L60" s="68"/>
      <c r="M60" s="80"/>
      <c r="N60" s="80"/>
      <c r="O60" s="81"/>
      <c r="P60" s="8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69"/>
    </row>
    <row r="61" spans="1:57" s="2" customFormat="1" ht="57" customHeight="1" x14ac:dyDescent="0.3">
      <c r="A61" s="74"/>
      <c r="B61" s="82"/>
      <c r="C61" s="72"/>
      <c r="D61" s="72"/>
      <c r="E61" s="73"/>
      <c r="F61" s="98"/>
      <c r="G61" s="66"/>
      <c r="H61" s="66"/>
      <c r="I61" s="67"/>
      <c r="J61" s="67"/>
      <c r="K61" s="68"/>
      <c r="L61" s="68"/>
      <c r="M61" s="80"/>
      <c r="N61" s="80"/>
      <c r="O61" s="81"/>
      <c r="P61" s="8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69"/>
    </row>
    <row r="62" spans="1:57" s="2" customFormat="1" ht="57" customHeight="1" x14ac:dyDescent="0.3">
      <c r="A62" s="74"/>
      <c r="B62" s="82"/>
      <c r="C62" s="72"/>
      <c r="D62" s="72"/>
      <c r="E62" s="73"/>
      <c r="F62" s="98"/>
      <c r="G62" s="66"/>
      <c r="H62" s="66"/>
      <c r="I62" s="67"/>
      <c r="J62" s="67"/>
      <c r="K62" s="68"/>
      <c r="L62" s="68"/>
      <c r="M62" s="80"/>
      <c r="N62" s="80"/>
      <c r="O62" s="81"/>
      <c r="P62" s="8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69"/>
    </row>
    <row r="63" spans="1:57" s="2" customFormat="1" ht="57" customHeight="1" x14ac:dyDescent="0.3">
      <c r="A63" s="74"/>
      <c r="B63" s="82"/>
      <c r="C63" s="72"/>
      <c r="D63" s="72"/>
      <c r="E63" s="73"/>
      <c r="F63" s="98"/>
      <c r="G63" s="66"/>
      <c r="H63" s="66"/>
      <c r="I63" s="67"/>
      <c r="J63" s="67"/>
      <c r="K63" s="68"/>
      <c r="L63" s="68"/>
      <c r="M63" s="80"/>
      <c r="N63" s="80"/>
      <c r="O63" s="81"/>
      <c r="P63" s="8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69"/>
    </row>
    <row r="64" spans="1:57" s="2" customFormat="1" ht="57" customHeight="1" x14ac:dyDescent="0.3">
      <c r="A64" s="74"/>
      <c r="B64" s="82"/>
      <c r="C64" s="72"/>
      <c r="D64" s="72"/>
      <c r="E64" s="73"/>
      <c r="F64" s="98"/>
      <c r="G64" s="66"/>
      <c r="H64" s="66"/>
      <c r="I64" s="67"/>
      <c r="J64" s="67"/>
      <c r="K64" s="68"/>
      <c r="L64" s="68"/>
      <c r="M64" s="80"/>
      <c r="N64" s="80"/>
      <c r="O64" s="81"/>
      <c r="P64" s="8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69"/>
    </row>
    <row r="65" spans="1:57" s="2" customFormat="1" ht="57" customHeight="1" x14ac:dyDescent="0.3">
      <c r="A65" s="74"/>
      <c r="B65" s="82"/>
      <c r="C65" s="72"/>
      <c r="D65" s="72"/>
      <c r="E65" s="73"/>
      <c r="F65" s="98"/>
      <c r="G65" s="66"/>
      <c r="H65" s="66"/>
      <c r="I65" s="67"/>
      <c r="J65" s="67"/>
      <c r="K65" s="68"/>
      <c r="L65" s="68"/>
      <c r="M65" s="80"/>
      <c r="N65" s="80"/>
      <c r="O65" s="81"/>
      <c r="P65" s="8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69"/>
    </row>
    <row r="66" spans="1:57" s="2" customFormat="1" ht="57" customHeight="1" x14ac:dyDescent="0.3">
      <c r="A66" s="74"/>
      <c r="B66" s="82"/>
      <c r="C66" s="72"/>
      <c r="D66" s="72"/>
      <c r="E66" s="73"/>
      <c r="F66" s="98"/>
      <c r="G66" s="66"/>
      <c r="H66" s="66"/>
      <c r="I66" s="67"/>
      <c r="J66" s="67"/>
      <c r="K66" s="68"/>
      <c r="L66" s="68"/>
      <c r="M66" s="80"/>
      <c r="N66" s="80"/>
      <c r="O66" s="81"/>
      <c r="P66" s="8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69"/>
    </row>
    <row r="67" spans="1:57" s="2" customFormat="1" ht="57" customHeight="1" x14ac:dyDescent="0.3">
      <c r="A67" s="74"/>
      <c r="B67" s="82"/>
      <c r="C67" s="72"/>
      <c r="D67" s="72"/>
      <c r="E67" s="73"/>
      <c r="F67" s="98"/>
      <c r="G67" s="66"/>
      <c r="H67" s="66"/>
      <c r="I67" s="67"/>
      <c r="J67" s="67"/>
      <c r="K67" s="68"/>
      <c r="L67" s="68"/>
      <c r="M67" s="80"/>
      <c r="N67" s="80"/>
      <c r="O67" s="81"/>
      <c r="P67" s="8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69"/>
    </row>
    <row r="68" spans="1:57" s="2" customFormat="1" ht="57" customHeight="1" x14ac:dyDescent="0.3">
      <c r="A68" s="74"/>
      <c r="B68" s="82"/>
      <c r="C68" s="72"/>
      <c r="D68" s="72"/>
      <c r="E68" s="73"/>
      <c r="F68" s="98"/>
      <c r="G68" s="66"/>
      <c r="H68" s="66"/>
      <c r="I68" s="67"/>
      <c r="J68" s="67"/>
      <c r="K68" s="68"/>
      <c r="L68" s="68"/>
      <c r="M68" s="80"/>
      <c r="N68" s="80"/>
      <c r="O68" s="81"/>
      <c r="P68" s="8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69"/>
    </row>
    <row r="69" spans="1:57" s="2" customFormat="1" ht="57" customHeight="1" x14ac:dyDescent="0.3">
      <c r="A69" s="74"/>
      <c r="B69" s="82"/>
      <c r="C69" s="72"/>
      <c r="D69" s="72"/>
      <c r="E69" s="73"/>
      <c r="F69" s="98"/>
      <c r="G69" s="66"/>
      <c r="H69" s="66"/>
      <c r="I69" s="67"/>
      <c r="J69" s="67"/>
      <c r="K69" s="68"/>
      <c r="L69" s="68"/>
      <c r="M69" s="80"/>
      <c r="N69" s="80"/>
      <c r="O69" s="81"/>
      <c r="P69" s="8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69"/>
    </row>
    <row r="70" spans="1:57" s="2" customFormat="1" ht="57" customHeight="1" x14ac:dyDescent="0.3">
      <c r="A70" s="74"/>
      <c r="B70" s="82"/>
      <c r="C70" s="72"/>
      <c r="D70" s="72"/>
      <c r="E70" s="73"/>
      <c r="F70" s="98"/>
      <c r="G70" s="66"/>
      <c r="H70" s="66"/>
      <c r="I70" s="67"/>
      <c r="J70" s="67"/>
      <c r="K70" s="68"/>
      <c r="L70" s="68"/>
      <c r="M70" s="80"/>
      <c r="N70" s="80"/>
      <c r="O70" s="81"/>
      <c r="P70" s="8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69"/>
    </row>
    <row r="71" spans="1:57" s="2" customFormat="1" ht="57" customHeight="1" x14ac:dyDescent="0.3">
      <c r="A71" s="74"/>
      <c r="B71" s="82"/>
      <c r="C71" s="72"/>
      <c r="D71" s="72"/>
      <c r="E71" s="73"/>
      <c r="F71" s="98"/>
      <c r="G71" s="66"/>
      <c r="H71" s="66"/>
      <c r="I71" s="67"/>
      <c r="J71" s="67"/>
      <c r="K71" s="68"/>
      <c r="L71" s="68"/>
      <c r="M71" s="80"/>
      <c r="N71" s="80"/>
      <c r="O71" s="81"/>
      <c r="P71" s="8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69"/>
    </row>
    <row r="72" spans="1:57" s="2" customFormat="1" ht="57" customHeight="1" x14ac:dyDescent="0.3">
      <c r="A72" s="74"/>
      <c r="B72" s="82"/>
      <c r="C72" s="72"/>
      <c r="D72" s="72"/>
      <c r="E72" s="73"/>
      <c r="F72" s="98"/>
      <c r="G72" s="66"/>
      <c r="H72" s="66"/>
      <c r="I72" s="67"/>
      <c r="J72" s="67"/>
      <c r="K72" s="68"/>
      <c r="L72" s="68"/>
      <c r="M72" s="80"/>
      <c r="N72" s="80"/>
      <c r="O72" s="81"/>
      <c r="P72" s="8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69"/>
    </row>
    <row r="73" spans="1:57" s="2" customFormat="1" ht="57" customHeight="1" x14ac:dyDescent="0.3">
      <c r="A73" s="74"/>
      <c r="B73" s="82"/>
      <c r="C73" s="72"/>
      <c r="D73" s="72"/>
      <c r="E73" s="73"/>
      <c r="F73" s="98"/>
      <c r="G73" s="66"/>
      <c r="H73" s="66"/>
      <c r="I73" s="67"/>
      <c r="J73" s="67"/>
      <c r="K73" s="68"/>
      <c r="L73" s="68"/>
      <c r="M73" s="80"/>
      <c r="N73" s="80"/>
      <c r="O73" s="81"/>
      <c r="P73" s="8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69"/>
    </row>
    <row r="74" spans="1:57" s="2" customFormat="1" ht="57" customHeight="1" x14ac:dyDescent="0.3">
      <c r="A74" s="74"/>
      <c r="B74" s="82"/>
      <c r="C74" s="72"/>
      <c r="D74" s="72"/>
      <c r="E74" s="73"/>
      <c r="F74" s="98"/>
      <c r="G74" s="66"/>
      <c r="H74" s="66"/>
      <c r="I74" s="67"/>
      <c r="J74" s="67"/>
      <c r="K74" s="68"/>
      <c r="L74" s="68"/>
      <c r="M74" s="80"/>
      <c r="N74" s="80"/>
      <c r="O74" s="81"/>
      <c r="P74" s="8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69"/>
    </row>
    <row r="75" spans="1:57" s="2" customFormat="1" ht="57" customHeight="1" x14ac:dyDescent="0.3">
      <c r="A75" s="74"/>
      <c r="B75" s="82"/>
      <c r="C75" s="72"/>
      <c r="D75" s="72"/>
      <c r="E75" s="73"/>
      <c r="F75" s="98"/>
      <c r="G75" s="66"/>
      <c r="H75" s="66"/>
      <c r="I75" s="67"/>
      <c r="J75" s="67"/>
      <c r="K75" s="68"/>
      <c r="L75" s="68"/>
      <c r="M75" s="80"/>
      <c r="N75" s="80"/>
      <c r="O75" s="81"/>
      <c r="P75" s="8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69"/>
    </row>
    <row r="76" spans="1:57" s="2" customFormat="1" ht="57" customHeight="1" x14ac:dyDescent="0.3">
      <c r="A76" s="74"/>
      <c r="B76" s="82"/>
      <c r="C76" s="72"/>
      <c r="D76" s="72"/>
      <c r="E76" s="73"/>
      <c r="F76" s="98"/>
      <c r="G76" s="66"/>
      <c r="H76" s="66"/>
      <c r="I76" s="67"/>
      <c r="J76" s="67"/>
      <c r="K76" s="68"/>
      <c r="L76" s="68"/>
      <c r="M76" s="80"/>
      <c r="N76" s="80"/>
      <c r="O76" s="81"/>
      <c r="P76" s="8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69"/>
    </row>
    <row r="77" spans="1:57" s="2" customFormat="1" ht="57" customHeight="1" x14ac:dyDescent="0.3">
      <c r="A77" s="74"/>
      <c r="B77" s="82"/>
      <c r="C77" s="72"/>
      <c r="D77" s="72"/>
      <c r="E77" s="73"/>
      <c r="F77" s="98"/>
      <c r="G77" s="66"/>
      <c r="H77" s="66"/>
      <c r="I77" s="67"/>
      <c r="J77" s="67"/>
      <c r="K77" s="68"/>
      <c r="L77" s="68"/>
      <c r="M77" s="80"/>
      <c r="N77" s="80"/>
      <c r="O77" s="81"/>
      <c r="P77" s="8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69"/>
    </row>
    <row r="78" spans="1:57" s="2" customFormat="1" ht="57" customHeight="1" x14ac:dyDescent="0.3">
      <c r="A78" s="74"/>
      <c r="B78" s="82"/>
      <c r="C78" s="72"/>
      <c r="D78" s="72"/>
      <c r="E78" s="73"/>
      <c r="F78" s="98"/>
      <c r="G78" s="66"/>
      <c r="H78" s="66"/>
      <c r="I78" s="67"/>
      <c r="J78" s="67"/>
      <c r="K78" s="68"/>
      <c r="L78" s="68"/>
      <c r="M78" s="80"/>
      <c r="N78" s="80"/>
      <c r="O78" s="81"/>
      <c r="P78" s="8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69"/>
    </row>
    <row r="79" spans="1:57" s="2" customFormat="1" ht="57" customHeight="1" x14ac:dyDescent="0.3">
      <c r="A79" s="74"/>
      <c r="B79" s="82"/>
      <c r="C79" s="72"/>
      <c r="D79" s="72"/>
      <c r="E79" s="73"/>
      <c r="F79" s="98"/>
      <c r="G79" s="66"/>
      <c r="H79" s="66"/>
      <c r="I79" s="67"/>
      <c r="J79" s="67"/>
      <c r="K79" s="68"/>
      <c r="L79" s="68"/>
      <c r="M79" s="80"/>
      <c r="N79" s="80"/>
      <c r="O79" s="81"/>
      <c r="P79" s="8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69"/>
    </row>
    <row r="80" spans="1:57" s="2" customFormat="1" ht="57" customHeight="1" x14ac:dyDescent="0.3">
      <c r="A80" s="74"/>
      <c r="B80" s="82"/>
      <c r="C80" s="72"/>
      <c r="D80" s="72"/>
      <c r="E80" s="73"/>
      <c r="F80" s="98"/>
      <c r="G80" s="66"/>
      <c r="H80" s="66"/>
      <c r="I80" s="67"/>
      <c r="J80" s="67"/>
      <c r="K80" s="68"/>
      <c r="L80" s="68"/>
      <c r="M80" s="80"/>
      <c r="N80" s="80"/>
      <c r="O80" s="81"/>
      <c r="P80" s="8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69"/>
    </row>
    <row r="81" spans="1:57" s="2" customFormat="1" ht="57" customHeight="1" x14ac:dyDescent="0.3">
      <c r="A81" s="74"/>
      <c r="B81" s="82"/>
      <c r="C81" s="72"/>
      <c r="D81" s="72"/>
      <c r="E81" s="73"/>
      <c r="F81" s="98"/>
      <c r="G81" s="66"/>
      <c r="H81" s="66"/>
      <c r="I81" s="67"/>
      <c r="J81" s="67"/>
      <c r="K81" s="68"/>
      <c r="L81" s="68"/>
      <c r="M81" s="80"/>
      <c r="N81" s="80"/>
      <c r="O81" s="81"/>
      <c r="P81" s="8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69"/>
    </row>
    <row r="82" spans="1:57" s="2" customFormat="1" ht="57" customHeight="1" x14ac:dyDescent="0.3">
      <c r="A82" s="74"/>
      <c r="B82" s="82"/>
      <c r="C82" s="72"/>
      <c r="D82" s="72"/>
      <c r="E82" s="73"/>
      <c r="F82" s="98"/>
      <c r="G82" s="66"/>
      <c r="H82" s="66"/>
      <c r="I82" s="67"/>
      <c r="J82" s="67"/>
      <c r="K82" s="68"/>
      <c r="L82" s="68"/>
      <c r="M82" s="80"/>
      <c r="N82" s="80"/>
      <c r="O82" s="81"/>
      <c r="P82" s="8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69"/>
    </row>
    <row r="83" spans="1:57" s="2" customFormat="1" ht="57" customHeight="1" x14ac:dyDescent="0.3">
      <c r="A83" s="74"/>
      <c r="B83" s="82"/>
      <c r="C83" s="72"/>
      <c r="D83" s="72"/>
      <c r="E83" s="73"/>
      <c r="F83" s="98"/>
      <c r="G83" s="66"/>
      <c r="H83" s="66"/>
      <c r="I83" s="67"/>
      <c r="J83" s="67"/>
      <c r="K83" s="68"/>
      <c r="L83" s="68"/>
      <c r="M83" s="80"/>
      <c r="N83" s="80"/>
      <c r="O83" s="81"/>
      <c r="P83" s="8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69"/>
    </row>
    <row r="84" spans="1:57" s="2" customFormat="1" ht="57" customHeight="1" x14ac:dyDescent="0.3">
      <c r="A84" s="74"/>
      <c r="B84" s="82"/>
      <c r="C84" s="72"/>
      <c r="D84" s="72"/>
      <c r="E84" s="73"/>
      <c r="F84" s="98"/>
      <c r="G84" s="66"/>
      <c r="H84" s="66"/>
      <c r="I84" s="67"/>
      <c r="J84" s="67"/>
      <c r="K84" s="68"/>
      <c r="L84" s="68"/>
      <c r="M84" s="80"/>
      <c r="N84" s="80"/>
      <c r="O84" s="81"/>
      <c r="P84" s="8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69"/>
    </row>
    <row r="85" spans="1:57" s="2" customFormat="1" ht="57" customHeight="1" x14ac:dyDescent="0.3">
      <c r="A85" s="74"/>
      <c r="B85" s="82"/>
      <c r="C85" s="72"/>
      <c r="D85" s="72"/>
      <c r="E85" s="73"/>
      <c r="F85" s="98"/>
      <c r="G85" s="66"/>
      <c r="H85" s="66"/>
      <c r="I85" s="67"/>
      <c r="J85" s="67"/>
      <c r="K85" s="68"/>
      <c r="L85" s="68"/>
      <c r="M85" s="80"/>
      <c r="N85" s="80"/>
      <c r="O85" s="81"/>
      <c r="P85" s="8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69"/>
    </row>
    <row r="86" spans="1:57" s="2" customFormat="1" ht="57" customHeight="1" x14ac:dyDescent="0.3">
      <c r="A86" s="74"/>
      <c r="B86" s="82"/>
      <c r="C86" s="72"/>
      <c r="D86" s="72"/>
      <c r="E86" s="73"/>
      <c r="F86" s="98"/>
      <c r="G86" s="66"/>
      <c r="H86" s="66"/>
      <c r="I86" s="67"/>
      <c r="J86" s="67"/>
      <c r="K86" s="68"/>
      <c r="L86" s="68"/>
      <c r="M86" s="80"/>
      <c r="N86" s="80"/>
      <c r="O86" s="81"/>
      <c r="P86" s="8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69"/>
    </row>
    <row r="87" spans="1:57" s="2" customFormat="1" ht="57" customHeight="1" x14ac:dyDescent="0.3">
      <c r="A87" s="74"/>
      <c r="B87" s="82"/>
      <c r="C87" s="72"/>
      <c r="D87" s="72"/>
      <c r="E87" s="73"/>
      <c r="F87" s="98"/>
      <c r="G87" s="66"/>
      <c r="H87" s="66"/>
      <c r="I87" s="67"/>
      <c r="J87" s="67"/>
      <c r="K87" s="68"/>
      <c r="L87" s="68"/>
      <c r="M87" s="80"/>
      <c r="N87" s="80"/>
      <c r="O87" s="81"/>
      <c r="P87" s="8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69"/>
    </row>
    <row r="88" spans="1:57" s="2" customFormat="1" ht="57" customHeight="1" x14ac:dyDescent="0.3">
      <c r="A88" s="74"/>
      <c r="B88" s="82"/>
      <c r="C88" s="72"/>
      <c r="D88" s="72"/>
      <c r="E88" s="73"/>
      <c r="F88" s="98"/>
      <c r="G88" s="66"/>
      <c r="H88" s="66"/>
      <c r="I88" s="67"/>
      <c r="J88" s="67"/>
      <c r="K88" s="68"/>
      <c r="L88" s="68"/>
      <c r="M88" s="80"/>
      <c r="N88" s="80"/>
      <c r="O88" s="81"/>
      <c r="P88" s="8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69"/>
    </row>
    <row r="89" spans="1:57" s="2" customFormat="1" ht="57" customHeight="1" x14ac:dyDescent="0.3">
      <c r="A89" s="74"/>
      <c r="B89" s="82"/>
      <c r="C89" s="72"/>
      <c r="D89" s="72"/>
      <c r="E89" s="73"/>
      <c r="F89" s="98"/>
      <c r="G89" s="66"/>
      <c r="H89" s="66"/>
      <c r="I89" s="67"/>
      <c r="J89" s="67"/>
      <c r="K89" s="68"/>
      <c r="L89" s="68"/>
      <c r="M89" s="80"/>
      <c r="N89" s="80"/>
      <c r="O89" s="81"/>
      <c r="P89" s="8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69"/>
    </row>
    <row r="90" spans="1:57" s="2" customFormat="1" ht="57" customHeight="1" x14ac:dyDescent="0.3">
      <c r="A90" s="74"/>
      <c r="B90" s="82"/>
      <c r="C90" s="72"/>
      <c r="D90" s="72"/>
      <c r="E90" s="73"/>
      <c r="F90" s="98"/>
      <c r="G90" s="66"/>
      <c r="H90" s="66"/>
      <c r="I90" s="67"/>
      <c r="J90" s="67"/>
      <c r="K90" s="68"/>
      <c r="L90" s="68"/>
      <c r="M90" s="80"/>
      <c r="N90" s="80"/>
      <c r="O90" s="81"/>
      <c r="P90" s="8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69"/>
    </row>
    <row r="91" spans="1:57" s="2" customFormat="1" ht="57" customHeight="1" x14ac:dyDescent="0.3">
      <c r="A91" s="74"/>
      <c r="B91" s="82"/>
      <c r="C91" s="72"/>
      <c r="D91" s="72"/>
      <c r="E91" s="73"/>
      <c r="F91" s="98"/>
      <c r="G91" s="66"/>
      <c r="H91" s="66"/>
      <c r="I91" s="67"/>
      <c r="J91" s="67"/>
      <c r="K91" s="68"/>
      <c r="L91" s="68"/>
      <c r="M91" s="80"/>
      <c r="N91" s="80"/>
      <c r="O91" s="81"/>
      <c r="P91" s="8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69"/>
    </row>
    <row r="92" spans="1:57" s="2" customFormat="1" ht="57" customHeight="1" x14ac:dyDescent="0.3">
      <c r="A92" s="74"/>
      <c r="B92" s="82"/>
      <c r="C92" s="72"/>
      <c r="D92" s="72"/>
      <c r="E92" s="73"/>
      <c r="F92" s="98"/>
      <c r="G92" s="66"/>
      <c r="H92" s="66"/>
      <c r="I92" s="67"/>
      <c r="J92" s="67"/>
      <c r="K92" s="68"/>
      <c r="L92" s="68"/>
      <c r="M92" s="80"/>
      <c r="N92" s="80"/>
      <c r="O92" s="81"/>
      <c r="P92" s="8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69"/>
    </row>
    <row r="93" spans="1:57" s="2" customFormat="1" ht="57" customHeight="1" x14ac:dyDescent="0.3">
      <c r="A93" s="74"/>
      <c r="B93" s="82"/>
      <c r="C93" s="72"/>
      <c r="D93" s="72"/>
      <c r="E93" s="73"/>
      <c r="F93" s="98"/>
      <c r="G93" s="66"/>
      <c r="H93" s="66"/>
      <c r="I93" s="67"/>
      <c r="J93" s="67"/>
      <c r="K93" s="68"/>
      <c r="L93" s="68"/>
      <c r="M93" s="80"/>
      <c r="N93" s="80"/>
      <c r="O93" s="81"/>
      <c r="P93" s="8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69"/>
    </row>
    <row r="94" spans="1:57" s="2" customFormat="1" ht="57" customHeight="1" x14ac:dyDescent="0.3">
      <c r="A94" s="74"/>
      <c r="B94" s="82"/>
      <c r="C94" s="72"/>
      <c r="D94" s="72"/>
      <c r="E94" s="73"/>
      <c r="F94" s="98"/>
      <c r="G94" s="66"/>
      <c r="H94" s="66"/>
      <c r="I94" s="67"/>
      <c r="J94" s="67"/>
      <c r="K94" s="68"/>
      <c r="L94" s="68"/>
      <c r="M94" s="80"/>
      <c r="N94" s="80"/>
      <c r="O94" s="81"/>
      <c r="P94" s="8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69"/>
    </row>
    <row r="95" spans="1:57" s="2" customFormat="1" ht="57" customHeight="1" x14ac:dyDescent="0.3">
      <c r="A95" s="74"/>
      <c r="B95" s="82"/>
      <c r="C95" s="72"/>
      <c r="D95" s="72"/>
      <c r="E95" s="73"/>
      <c r="F95" s="98"/>
      <c r="G95" s="66"/>
      <c r="H95" s="66"/>
      <c r="I95" s="67"/>
      <c r="J95" s="67"/>
      <c r="K95" s="68"/>
      <c r="L95" s="68"/>
      <c r="M95" s="80"/>
      <c r="N95" s="80"/>
      <c r="O95" s="81"/>
      <c r="P95" s="8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69"/>
    </row>
    <row r="96" spans="1:57" s="2" customFormat="1" ht="57" customHeight="1" x14ac:dyDescent="0.3">
      <c r="A96" s="74"/>
      <c r="B96" s="82"/>
      <c r="C96" s="72"/>
      <c r="D96" s="72"/>
      <c r="E96" s="73"/>
      <c r="F96" s="98"/>
      <c r="G96" s="66"/>
      <c r="H96" s="66"/>
      <c r="I96" s="67"/>
      <c r="J96" s="67"/>
      <c r="K96" s="68"/>
      <c r="L96" s="68"/>
      <c r="M96" s="80"/>
      <c r="N96" s="80"/>
      <c r="O96" s="81"/>
      <c r="P96" s="8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69"/>
    </row>
    <row r="97" spans="1:57" s="2" customFormat="1" ht="57" customHeight="1" x14ac:dyDescent="0.3">
      <c r="A97" s="74"/>
      <c r="B97" s="82"/>
      <c r="C97" s="72"/>
      <c r="D97" s="72"/>
      <c r="E97" s="73"/>
      <c r="F97" s="98"/>
      <c r="G97" s="66"/>
      <c r="H97" s="66"/>
      <c r="I97" s="67"/>
      <c r="J97" s="67"/>
      <c r="K97" s="68"/>
      <c r="L97" s="68"/>
      <c r="M97" s="80"/>
      <c r="N97" s="80"/>
      <c r="O97" s="81"/>
      <c r="P97" s="8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69"/>
    </row>
    <row r="98" spans="1:57" s="2" customFormat="1" ht="57" customHeight="1" x14ac:dyDescent="0.3">
      <c r="A98" s="74"/>
      <c r="B98" s="82"/>
      <c r="C98" s="72"/>
      <c r="D98" s="72"/>
      <c r="E98" s="73"/>
      <c r="F98" s="98"/>
      <c r="G98" s="66"/>
      <c r="H98" s="66"/>
      <c r="I98" s="67"/>
      <c r="J98" s="67"/>
      <c r="K98" s="68"/>
      <c r="L98" s="68"/>
      <c r="M98" s="80"/>
      <c r="N98" s="80"/>
      <c r="O98" s="81"/>
      <c r="P98" s="8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69"/>
    </row>
    <row r="99" spans="1:57" s="2" customFormat="1" ht="57" customHeight="1" x14ac:dyDescent="0.3">
      <c r="A99" s="74"/>
      <c r="B99" s="82"/>
      <c r="C99" s="72"/>
      <c r="D99" s="72"/>
      <c r="E99" s="73"/>
      <c r="F99" s="98"/>
      <c r="G99" s="66"/>
      <c r="H99" s="66"/>
      <c r="I99" s="67"/>
      <c r="J99" s="67"/>
      <c r="K99" s="68"/>
      <c r="L99" s="68"/>
      <c r="M99" s="80"/>
      <c r="N99" s="80"/>
      <c r="O99" s="81"/>
      <c r="P99" s="8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69"/>
    </row>
    <row r="100" spans="1:57" s="2" customFormat="1" ht="57" customHeight="1" x14ac:dyDescent="0.3">
      <c r="A100" s="74"/>
      <c r="B100" s="82"/>
      <c r="C100" s="72"/>
      <c r="D100" s="72"/>
      <c r="E100" s="73"/>
      <c r="F100" s="98"/>
      <c r="G100" s="66"/>
      <c r="H100" s="66"/>
      <c r="I100" s="67"/>
      <c r="J100" s="67"/>
      <c r="K100" s="68"/>
      <c r="L100" s="68"/>
      <c r="M100" s="80"/>
      <c r="N100" s="80"/>
      <c r="O100" s="81"/>
      <c r="P100" s="8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69"/>
    </row>
    <row r="101" spans="1:57" s="2" customFormat="1" ht="57" customHeight="1" x14ac:dyDescent="0.3">
      <c r="A101" s="74"/>
      <c r="B101" s="82"/>
      <c r="C101" s="72"/>
      <c r="D101" s="72"/>
      <c r="E101" s="73"/>
      <c r="F101" s="98"/>
      <c r="G101" s="66"/>
      <c r="H101" s="66"/>
      <c r="I101" s="67"/>
      <c r="J101" s="67"/>
      <c r="K101" s="68"/>
      <c r="L101" s="68"/>
      <c r="M101" s="80"/>
      <c r="N101" s="80"/>
      <c r="O101" s="81"/>
      <c r="P101" s="8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69"/>
    </row>
    <row r="102" spans="1:57" s="2" customFormat="1" ht="57" customHeight="1" x14ac:dyDescent="0.3">
      <c r="A102" s="74"/>
      <c r="B102" s="82"/>
      <c r="C102" s="72"/>
      <c r="D102" s="72"/>
      <c r="E102" s="73"/>
      <c r="F102" s="98"/>
      <c r="G102" s="66"/>
      <c r="H102" s="66"/>
      <c r="I102" s="67"/>
      <c r="J102" s="67"/>
      <c r="K102" s="68"/>
      <c r="L102" s="68"/>
      <c r="M102" s="80"/>
      <c r="N102" s="80"/>
      <c r="O102" s="81"/>
      <c r="P102" s="8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69"/>
    </row>
    <row r="103" spans="1:57" s="2" customFormat="1" ht="57" customHeight="1" x14ac:dyDescent="0.3">
      <c r="A103" s="74"/>
      <c r="B103" s="82"/>
      <c r="C103" s="72"/>
      <c r="D103" s="72"/>
      <c r="E103" s="73"/>
      <c r="F103" s="98"/>
      <c r="G103" s="66"/>
      <c r="H103" s="66"/>
      <c r="I103" s="67"/>
      <c r="J103" s="67"/>
      <c r="K103" s="68"/>
      <c r="L103" s="68"/>
      <c r="M103" s="80"/>
      <c r="N103" s="80"/>
      <c r="O103" s="81"/>
      <c r="P103" s="8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69"/>
    </row>
    <row r="104" spans="1:57" s="2" customFormat="1" ht="57" customHeight="1" x14ac:dyDescent="0.3">
      <c r="A104" s="74"/>
      <c r="B104" s="82"/>
      <c r="C104" s="72"/>
      <c r="D104" s="72"/>
      <c r="E104" s="73"/>
      <c r="F104" s="98"/>
      <c r="G104" s="66"/>
      <c r="H104" s="66"/>
      <c r="I104" s="67"/>
      <c r="J104" s="67"/>
      <c r="K104" s="68"/>
      <c r="L104" s="68"/>
      <c r="M104" s="80"/>
      <c r="N104" s="80"/>
      <c r="O104" s="81"/>
      <c r="P104" s="8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69"/>
    </row>
    <row r="105" spans="1:57" s="2" customFormat="1" ht="57" customHeight="1" x14ac:dyDescent="0.3">
      <c r="A105" s="74"/>
      <c r="B105" s="82"/>
      <c r="C105" s="72"/>
      <c r="D105" s="72"/>
      <c r="E105" s="73"/>
      <c r="F105" s="98"/>
      <c r="G105" s="66"/>
      <c r="H105" s="66"/>
      <c r="I105" s="67"/>
      <c r="J105" s="67"/>
      <c r="K105" s="68"/>
      <c r="L105" s="68"/>
      <c r="M105" s="80"/>
      <c r="N105" s="80"/>
      <c r="O105" s="81"/>
      <c r="P105" s="8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69"/>
    </row>
    <row r="106" spans="1:57" s="2" customFormat="1" ht="57" customHeight="1" x14ac:dyDescent="0.3">
      <c r="A106" s="74"/>
      <c r="B106" s="82"/>
      <c r="C106" s="72"/>
      <c r="D106" s="72"/>
      <c r="E106" s="73"/>
      <c r="F106" s="98"/>
      <c r="G106" s="66"/>
      <c r="H106" s="66"/>
      <c r="I106" s="67"/>
      <c r="J106" s="67"/>
      <c r="K106" s="68"/>
      <c r="L106" s="68"/>
      <c r="M106" s="80"/>
      <c r="N106" s="80"/>
      <c r="O106" s="81"/>
      <c r="P106" s="8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69"/>
    </row>
    <row r="107" spans="1:57" s="2" customFormat="1" ht="57" customHeight="1" x14ac:dyDescent="0.3">
      <c r="A107" s="74"/>
      <c r="B107" s="82"/>
      <c r="C107" s="72"/>
      <c r="D107" s="72"/>
      <c r="E107" s="73"/>
      <c r="F107" s="98"/>
      <c r="G107" s="66"/>
      <c r="H107" s="66"/>
      <c r="I107" s="67"/>
      <c r="J107" s="67"/>
      <c r="K107" s="68"/>
      <c r="L107" s="68"/>
      <c r="M107" s="80"/>
      <c r="N107" s="80"/>
      <c r="O107" s="81"/>
      <c r="P107" s="8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69"/>
    </row>
    <row r="108" spans="1:57" s="2" customFormat="1" ht="57" customHeight="1" x14ac:dyDescent="0.3">
      <c r="A108" s="74"/>
      <c r="B108" s="82"/>
      <c r="C108" s="72"/>
      <c r="D108" s="72"/>
      <c r="E108" s="73"/>
      <c r="F108" s="98"/>
      <c r="G108" s="66"/>
      <c r="H108" s="66"/>
      <c r="I108" s="67"/>
      <c r="J108" s="67"/>
      <c r="K108" s="68"/>
      <c r="L108" s="68"/>
      <c r="M108" s="80"/>
      <c r="N108" s="80"/>
      <c r="O108" s="81"/>
      <c r="P108" s="8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69"/>
    </row>
    <row r="109" spans="1:57" s="2" customFormat="1" ht="57" customHeight="1" x14ac:dyDescent="0.3">
      <c r="A109" s="74"/>
      <c r="B109" s="82"/>
      <c r="C109" s="72"/>
      <c r="D109" s="72"/>
      <c r="E109" s="73"/>
      <c r="F109" s="98"/>
      <c r="G109" s="66"/>
      <c r="H109" s="66"/>
      <c r="I109" s="67"/>
      <c r="J109" s="67"/>
      <c r="K109" s="68"/>
      <c r="L109" s="68"/>
      <c r="M109" s="80"/>
      <c r="N109" s="80"/>
      <c r="O109" s="81"/>
      <c r="P109" s="8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69"/>
    </row>
    <row r="110" spans="1:57" s="2" customFormat="1" ht="57" customHeight="1" x14ac:dyDescent="0.3">
      <c r="A110" s="74"/>
      <c r="B110" s="82"/>
      <c r="C110" s="72"/>
      <c r="D110" s="72"/>
      <c r="E110" s="73"/>
      <c r="F110" s="98"/>
      <c r="G110" s="66"/>
      <c r="H110" s="66"/>
      <c r="I110" s="67"/>
      <c r="J110" s="67"/>
      <c r="K110" s="68"/>
      <c r="L110" s="68"/>
      <c r="M110" s="80"/>
      <c r="N110" s="80"/>
      <c r="O110" s="81"/>
      <c r="P110" s="8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69"/>
    </row>
    <row r="111" spans="1:57" s="2" customFormat="1" ht="57" customHeight="1" x14ac:dyDescent="0.3">
      <c r="A111" s="74"/>
      <c r="B111" s="82"/>
      <c r="C111" s="72"/>
      <c r="D111" s="72"/>
      <c r="E111" s="73"/>
      <c r="F111" s="98"/>
      <c r="G111" s="66"/>
      <c r="H111" s="66"/>
      <c r="I111" s="67"/>
      <c r="J111" s="67"/>
      <c r="K111" s="68"/>
      <c r="L111" s="68"/>
      <c r="M111" s="80"/>
      <c r="N111" s="80"/>
      <c r="O111" s="81"/>
      <c r="P111" s="8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69"/>
    </row>
    <row r="112" spans="1:57" s="2" customFormat="1" ht="57" customHeight="1" x14ac:dyDescent="0.3">
      <c r="A112" s="74"/>
      <c r="B112" s="82"/>
      <c r="C112" s="72"/>
      <c r="D112" s="72"/>
      <c r="E112" s="73"/>
      <c r="F112" s="98"/>
      <c r="G112" s="66"/>
      <c r="H112" s="66"/>
      <c r="I112" s="67"/>
      <c r="J112" s="67"/>
      <c r="K112" s="68"/>
      <c r="L112" s="68"/>
      <c r="M112" s="80"/>
      <c r="N112" s="80"/>
      <c r="O112" s="81"/>
      <c r="P112" s="8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69"/>
    </row>
    <row r="113" spans="1:57" s="2" customFormat="1" ht="57" customHeight="1" x14ac:dyDescent="0.3">
      <c r="A113" s="74"/>
      <c r="B113" s="82"/>
      <c r="C113" s="72"/>
      <c r="D113" s="72"/>
      <c r="E113" s="73"/>
      <c r="F113" s="98"/>
      <c r="G113" s="66"/>
      <c r="H113" s="66"/>
      <c r="I113" s="67"/>
      <c r="J113" s="67"/>
      <c r="K113" s="68"/>
      <c r="L113" s="68"/>
      <c r="M113" s="80"/>
      <c r="N113" s="80"/>
      <c r="O113" s="81"/>
      <c r="P113" s="8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69"/>
    </row>
    <row r="114" spans="1:57" s="2" customFormat="1" ht="57" customHeight="1" x14ac:dyDescent="0.3">
      <c r="A114" s="74"/>
      <c r="B114" s="82"/>
      <c r="C114" s="72"/>
      <c r="D114" s="72"/>
      <c r="E114" s="73"/>
      <c r="F114" s="98"/>
      <c r="G114" s="66"/>
      <c r="H114" s="66"/>
      <c r="I114" s="67"/>
      <c r="J114" s="67"/>
      <c r="K114" s="68"/>
      <c r="L114" s="68"/>
      <c r="M114" s="80"/>
      <c r="N114" s="80"/>
      <c r="O114" s="81"/>
      <c r="P114" s="8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69"/>
    </row>
    <row r="115" spans="1:57" s="2" customFormat="1" ht="57" customHeight="1" x14ac:dyDescent="0.3">
      <c r="A115" s="74"/>
      <c r="B115" s="82"/>
      <c r="C115" s="72"/>
      <c r="D115" s="72"/>
      <c r="E115" s="73"/>
      <c r="F115" s="98"/>
      <c r="G115" s="66"/>
      <c r="H115" s="66"/>
      <c r="I115" s="67"/>
      <c r="J115" s="67"/>
      <c r="K115" s="68"/>
      <c r="L115" s="68"/>
      <c r="M115" s="80"/>
      <c r="N115" s="80"/>
      <c r="O115" s="81"/>
      <c r="P115" s="8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69"/>
    </row>
    <row r="116" spans="1:57" s="2" customFormat="1" ht="57" customHeight="1" x14ac:dyDescent="0.3">
      <c r="A116" s="74"/>
      <c r="B116" s="82"/>
      <c r="C116" s="72"/>
      <c r="D116" s="72"/>
      <c r="E116" s="73"/>
      <c r="F116" s="98"/>
      <c r="G116" s="66"/>
      <c r="H116" s="66"/>
      <c r="I116" s="67"/>
      <c r="J116" s="67"/>
      <c r="K116" s="68"/>
      <c r="L116" s="68"/>
      <c r="M116" s="80"/>
      <c r="N116" s="80"/>
      <c r="O116" s="81"/>
      <c r="P116" s="8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69"/>
    </row>
    <row r="117" spans="1:57" s="2" customFormat="1" ht="57" customHeight="1" x14ac:dyDescent="0.3">
      <c r="A117" s="74"/>
      <c r="B117" s="82"/>
      <c r="C117" s="72"/>
      <c r="D117" s="72"/>
      <c r="E117" s="73"/>
      <c r="F117" s="98"/>
      <c r="G117" s="66"/>
      <c r="H117" s="66"/>
      <c r="I117" s="67"/>
      <c r="J117" s="67"/>
      <c r="K117" s="68"/>
      <c r="L117" s="68"/>
      <c r="M117" s="80"/>
      <c r="N117" s="80"/>
      <c r="O117" s="81"/>
      <c r="P117" s="8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69"/>
    </row>
    <row r="118" spans="1:57" s="2" customFormat="1" ht="57" customHeight="1" x14ac:dyDescent="0.3">
      <c r="A118" s="74"/>
      <c r="B118" s="82"/>
      <c r="C118" s="72"/>
      <c r="D118" s="72"/>
      <c r="E118" s="73"/>
      <c r="F118" s="98"/>
      <c r="G118" s="66"/>
      <c r="H118" s="66"/>
      <c r="I118" s="67"/>
      <c r="J118" s="67"/>
      <c r="K118" s="68"/>
      <c r="L118" s="68"/>
      <c r="M118" s="80"/>
      <c r="N118" s="80"/>
      <c r="O118" s="81"/>
      <c r="P118" s="8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69"/>
    </row>
    <row r="119" spans="1:57" s="2" customFormat="1" ht="57" customHeight="1" x14ac:dyDescent="0.3">
      <c r="A119" s="74"/>
      <c r="B119" s="82"/>
      <c r="C119" s="72"/>
      <c r="D119" s="72"/>
      <c r="E119" s="73"/>
      <c r="F119" s="98"/>
      <c r="G119" s="66"/>
      <c r="H119" s="66"/>
      <c r="I119" s="67"/>
      <c r="J119" s="67"/>
      <c r="K119" s="68"/>
      <c r="L119" s="68"/>
      <c r="M119" s="80"/>
      <c r="N119" s="80"/>
      <c r="O119" s="81"/>
      <c r="P119" s="8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69"/>
    </row>
    <row r="120" spans="1:57" s="2" customFormat="1" ht="57" customHeight="1" x14ac:dyDescent="0.3">
      <c r="A120" s="74"/>
      <c r="B120" s="82"/>
      <c r="C120" s="72"/>
      <c r="D120" s="72"/>
      <c r="E120" s="73"/>
      <c r="F120" s="98"/>
      <c r="G120" s="66"/>
      <c r="H120" s="66"/>
      <c r="I120" s="67"/>
      <c r="J120" s="67"/>
      <c r="K120" s="68"/>
      <c r="L120" s="68"/>
      <c r="M120" s="80"/>
      <c r="N120" s="80"/>
      <c r="O120" s="81"/>
      <c r="P120" s="8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69"/>
    </row>
    <row r="121" spans="1:57" s="2" customFormat="1" ht="57" customHeight="1" x14ac:dyDescent="0.3">
      <c r="A121" s="74"/>
      <c r="B121" s="82"/>
      <c r="C121" s="72"/>
      <c r="D121" s="72"/>
      <c r="E121" s="73"/>
      <c r="F121" s="98"/>
      <c r="G121" s="66"/>
      <c r="H121" s="66"/>
      <c r="I121" s="67"/>
      <c r="J121" s="67"/>
      <c r="K121" s="68"/>
      <c r="L121" s="68"/>
      <c r="M121" s="80"/>
      <c r="N121" s="80"/>
      <c r="O121" s="81"/>
      <c r="P121" s="8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69"/>
    </row>
    <row r="122" spans="1:57" s="2" customFormat="1" ht="57" customHeight="1" x14ac:dyDescent="0.3">
      <c r="A122" s="74"/>
      <c r="B122" s="82"/>
      <c r="C122" s="72"/>
      <c r="D122" s="72"/>
      <c r="E122" s="73"/>
      <c r="F122" s="98"/>
      <c r="G122" s="66"/>
      <c r="H122" s="66"/>
      <c r="I122" s="67"/>
      <c r="J122" s="67"/>
      <c r="K122" s="68"/>
      <c r="L122" s="68"/>
      <c r="M122" s="80"/>
      <c r="N122" s="80"/>
      <c r="O122" s="81"/>
      <c r="P122" s="8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69"/>
    </row>
    <row r="123" spans="1:57" s="2" customFormat="1" ht="57" customHeight="1" x14ac:dyDescent="0.3">
      <c r="A123" s="74"/>
      <c r="B123" s="82"/>
      <c r="C123" s="72"/>
      <c r="D123" s="72"/>
      <c r="E123" s="73"/>
      <c r="F123" s="98"/>
      <c r="G123" s="66"/>
      <c r="H123" s="66"/>
      <c r="I123" s="67"/>
      <c r="J123" s="67"/>
      <c r="K123" s="68"/>
      <c r="L123" s="68"/>
      <c r="M123" s="80">
        <f t="shared" ref="M123:M124" si="2">G123+I123+K123</f>
        <v>0</v>
      </c>
      <c r="N123" s="80">
        <f t="shared" ref="N123:N124" si="3">H123+J123+L123</f>
        <v>0</v>
      </c>
      <c r="O123" s="81">
        <f t="shared" ref="O123:O124" si="4">SUM(Q123:U123)</f>
        <v>0</v>
      </c>
      <c r="P123" s="81">
        <f t="shared" ref="P123:P124" si="5">SUM(V123:BD123)</f>
        <v>0</v>
      </c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69"/>
    </row>
    <row r="124" spans="1:57" s="2" customFormat="1" ht="57" customHeight="1" x14ac:dyDescent="0.3">
      <c r="A124" s="74"/>
      <c r="B124" s="82"/>
      <c r="C124" s="72"/>
      <c r="D124" s="72"/>
      <c r="E124" s="73"/>
      <c r="F124" s="98"/>
      <c r="G124" s="66"/>
      <c r="H124" s="66"/>
      <c r="I124" s="67"/>
      <c r="J124" s="67"/>
      <c r="K124" s="68"/>
      <c r="L124" s="68"/>
      <c r="M124" s="80">
        <f t="shared" si="2"/>
        <v>0</v>
      </c>
      <c r="N124" s="80">
        <f t="shared" si="3"/>
        <v>0</v>
      </c>
      <c r="O124" s="81">
        <f t="shared" si="4"/>
        <v>0</v>
      </c>
      <c r="P124" s="81">
        <f t="shared" si="5"/>
        <v>0</v>
      </c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69"/>
    </row>
  </sheetData>
  <autoFilter ref="A4:BD124">
    <filterColumn colId="6" showButton="0"/>
    <filterColumn colId="8" showButton="0"/>
    <filterColumn colId="10" showButton="0"/>
    <filterColumn colId="12" showButton="0"/>
    <filterColumn colId="14" showButton="0"/>
  </autoFilter>
  <sortState ref="V2:AZ205">
    <sortCondition ref="V1"/>
  </sortState>
  <mergeCells count="16">
    <mergeCell ref="M1:N3"/>
    <mergeCell ref="K4:L4"/>
    <mergeCell ref="M4:N4"/>
    <mergeCell ref="O4:P4"/>
    <mergeCell ref="A4:A5"/>
    <mergeCell ref="B4:B5"/>
    <mergeCell ref="C4:C5"/>
    <mergeCell ref="D4:D5"/>
    <mergeCell ref="E4:E5"/>
    <mergeCell ref="F4:F5"/>
    <mergeCell ref="G4:H4"/>
    <mergeCell ref="I4:J4"/>
    <mergeCell ref="O1:P1"/>
    <mergeCell ref="O2:P2"/>
    <mergeCell ref="O3:P3"/>
    <mergeCell ref="A1:H3"/>
  </mergeCells>
  <conditionalFormatting sqref="N6:N124">
    <cfRule type="cellIs" dxfId="3" priority="11" operator="notEqual">
      <formula>P6</formula>
    </cfRule>
  </conditionalFormatting>
  <conditionalFormatting sqref="M6:M124">
    <cfRule type="cellIs" dxfId="2" priority="8" operator="notEqual">
      <formula>O6</formula>
    </cfRule>
  </conditionalFormatting>
  <conditionalFormatting sqref="Q2:BD2">
    <cfRule type="cellIs" dxfId="1" priority="1" operator="greaterThan">
      <formula>0.9</formula>
    </cfRule>
    <cfRule type="cellIs" dxfId="0" priority="2" operator="greaterThan">
      <formula>1</formula>
    </cfRule>
  </conditionalFormatting>
  <pageMargins left="0.23" right="0.2" top="0.16" bottom="0.31" header="0.17" footer="0.31496062992125984"/>
  <pageSetup paperSize="9" scale="37" orientation="landscape" horizontalDpi="4294967293" r:id="rId1"/>
  <colBreaks count="2" manualBreakCount="2">
    <brk id="21" max="1048575" man="1"/>
    <brk id="36" max="17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COMPTE ET NUMERO A DEBITER</vt:lpstr>
      <vt:lpstr>JUILLET 2023</vt:lpstr>
      <vt:lpstr>GRAND LIVRE POUR RAPPORT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 Serie Z10t</dc:creator>
  <cp:lastModifiedBy>RATSITSISON Zelin</cp:lastModifiedBy>
  <cp:lastPrinted>2023-07-02T08:08:09Z</cp:lastPrinted>
  <dcterms:created xsi:type="dcterms:W3CDTF">2022-06-29T06:31:53Z</dcterms:created>
  <dcterms:modified xsi:type="dcterms:W3CDTF">2023-07-11T15:39:54Z</dcterms:modified>
</cp:coreProperties>
</file>